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9.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8.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1_绩效标准4.2" sheetId="1" r:id="rId3"/>
    <sheet name="个人目标操作流程及注意事项" sheetId="2" r:id="rId4"/>
    <sheet name="2_工程师绩效表格" sheetId="3" r:id="rId5"/>
    <sheet name="日常工作" sheetId="4" r:id="rId6"/>
    <sheet name="个人目标" sheetId="5" r:id="rId7"/>
    <sheet name="工作质量" sheetId="6" r:id="rId8"/>
    <sheet name="部门互评" sheetId="7" r:id="rId9"/>
    <sheet name="绩效加分" sheetId="8" r:id="rId10"/>
    <sheet name="绩效减分" sheetId="9" r:id="rId11"/>
  </sheets>
  <calcPr/>
</workbook>
</file>

<file path=xl/sharedStrings.xml><?xml version="1.0" encoding="utf-8"?>
<sst xmlns="http://schemas.openxmlformats.org/spreadsheetml/2006/main" count="180" uniqueCount="180">
  <si>
    <t/>
  </si>
  <si>
    <t>维度</t>
  </si>
  <si>
    <t>详细说明</t>
  </si>
  <si>
    <t>注意事项</t>
  </si>
  <si>
    <t>完整流程</t>
  </si>
  <si>
    <t>/</t>
  </si>
  <si>
    <t>工程师制定OAR</t>
  </si>
  <si>
    <t>部门经理审核并给出目标分</t>
  </si>
  <si>
    <t>1、公平公正：​ 确保不同工程师之间的评分标准尺度一致。
2、充分沟通：​ 与工程师充分沟通评分依据，达成共识，避免“命令式”下达。
3、价值引导：​ 通过标注高价值事项，引导工程师关注工作带来的长远影响。</t>
  </si>
  <si>
    <t>部门公示</t>
  </si>
  <si>
    <t>1、透明化：​ 公示旨在促进透明公平，让团队成员相互了解工作重点。
2、保密性：​ 注意敏感信息脱敏。</t>
  </si>
  <si>
    <t>执行与监控</t>
  </si>
  <si>
    <t>1、工程师：​ 按计划推进工作，遇到风险及时上报。
2、部门经理/项目经理：​ 定期（如每周）通过站会或周会了解进展，提供支持。</t>
  </si>
  <si>
    <t>1、过程管理：​ 监控是为了及时识别和清除障碍。
2、记录变更：​ 如有导致目标变更的苗头，应及时记录。</t>
  </si>
  <si>
    <t>1、及时性：​ 变化发生时应立即申请调整，而非月底“秋后算账”。
2、客观性：​ 调整是基于客观事实，而非因为目标难以完成而“放水”。
3、存档：​ 所有变更申请和审批记录需存档备查。</t>
  </si>
  <si>
    <t>工程师总结达成情况</t>
  </si>
  <si>
    <t>1、逐项说明：​ 对照月初或变更后的OAR，逐项说明完成情况，附上可验证的证据（如代码链接、文档、测试报告）。
2、突出价值：​ 在总结中重点阐述工作带来的价值（如：效率提升X%、节省成本Y元、形成技术规范Z），作为加分依据。
3、困难与反思：​ 对未完成项说明原因，并总结经验教训。</t>
  </si>
  <si>
    <t>1、实事求是：​ 基于事实陈述，避免夸大或缩水。
2、结果导向：​ 聚焦在输出的成果和产生的影响上。</t>
  </si>
  <si>
    <t>部门经理评定最终得分</t>
  </si>
  <si>
    <t>1、对事不对人：​ 评分严格依据目标达成情况和价值贡献，避免带入个人感情。
2、反馈具体：​ 在评语中明确指出得分高低的原因，特别是加分项，让工程师明确后续努力方向。</t>
  </si>
  <si>
    <t>最终结果部门公示</t>
  </si>
  <si>
    <t>公示最终得分是为了闭环，形成良性竞争和学习氛围。管理者需准备好对得分差异进行解释，确保公平性。</t>
  </si>
  <si>
    <t>满分15分
团队贡献：第1月0-3分，第2月0-2分，第3月0-1分，第4月无（实习生与校招入职新人是同一位，只做一次加分；导师自己及部门团队成员每月根据该导师带新人的成效，确认是否加满该月的分数）；实习考核工作量导师自行登记jira跟进，视情况登记
分享目标：1-2分/次（上限≤4分）
专利目标：交底书登记jira，提案通过3分，交局通过3分（上限≤6分）
文档目标：1分/份（上限≤2分）
团队氛围：1-2分/次（上限≤2分）
表扬（相关方）：点赞平台等非正式表扬：1分（上限≤3分）；个人书面邮件正式表扬：5分；项目组成员邮件正式表扬：2分
其它：S级、A级项目PL增加问卷调查，根据相关方反馈情况、项目按时达成情况及项目等级，大PL加0-5分，小PL加0-3分</t>
  </si>
  <si>
    <t>序号</t>
  </si>
  <si>
    <t>成员</t>
  </si>
  <si>
    <t>培养新人
（0~3分）</t>
  </si>
  <si>
    <t>文档
（0~2分）</t>
  </si>
  <si>
    <t>分享
（0~4分）</t>
  </si>
  <si>
    <t>专利
（0~5分）</t>
  </si>
  <si>
    <t>微创新
（0~3分）</t>
  </si>
  <si>
    <t>团队氛围
（0~2分）</t>
  </si>
  <si>
    <t>招聘面试
（0~3分）</t>
  </si>
  <si>
    <t>表扬（相关方）</t>
  </si>
  <si>
    <t>其他（PL）</t>
  </si>
  <si>
    <t>总分
0~15</t>
  </si>
  <si>
    <t>备注</t>
  </si>
  <si>
    <t>陈伟祥</t>
  </si>
  <si>
    <t>黄砚轩</t>
  </si>
  <si>
    <t>胡雪</t>
  </si>
  <si>
    <t>焦永皓</t>
  </si>
  <si>
    <t>纪兴安</t>
  </si>
  <si>
    <t>黎竞超</t>
  </si>
  <si>
    <t>林耀锦</t>
  </si>
  <si>
    <t>谢锐东</t>
  </si>
  <si>
    <t>叶晓杰</t>
  </si>
  <si>
    <t>赵鹏飞</t>
  </si>
  <si>
    <t>绩效加分</t>
  </si>
  <si>
    <t>培养新人</t>
  </si>
  <si>
    <t>文档</t>
  </si>
  <si>
    <t>分享</t>
  </si>
  <si>
    <t>专利（提案通过、交局）</t>
  </si>
  <si>
    <t>微创新（结项）</t>
  </si>
  <si>
    <t>招聘
（0.5分/人，上限3分，超出6人部分按日常工作量统计）</t>
  </si>
  <si>
    <t>表扬</t>
  </si>
  <si>
    <t>团队氛围
（分享、创新、活动目标达成）</t>
  </si>
  <si>
    <t>人数及月数</t>
  </si>
  <si>
    <t>评分</t>
  </si>
  <si>
    <t>份数
（“链接”填下方表单）</t>
  </si>
  <si>
    <t>次数</t>
  </si>
  <si>
    <t>份数</t>
  </si>
  <si>
    <t>满分5分
前20% 5分，前50% 3分，后30% 1分</t>
  </si>
  <si>
    <t>姓名</t>
  </si>
  <si>
    <t xml:space="preserve"> 团队交付
（按时、质量等维度）</t>
  </si>
  <si>
    <t xml:space="preserve"> 团队协作
（问题解答、技术协助等）</t>
  </si>
  <si>
    <t>态度和反馈</t>
  </si>
  <si>
    <t>总分</t>
  </si>
  <si>
    <t>对应分数</t>
  </si>
  <si>
    <t>满分15分
1. 关键指标 0~7 分
2. 关键事项 0~8 分</t>
  </si>
  <si>
    <t>关键指标
（0~7分）</t>
  </si>
  <si>
    <t>关键事项
（0~8分）</t>
  </si>
  <si>
    <t>如下表</t>
  </si>
  <si>
    <t>异常</t>
  </si>
  <si>
    <t>绩效减分项</t>
  </si>
  <si>
    <t>技术失误
管理失误</t>
  </si>
  <si>
    <t>1万以下</t>
  </si>
  <si>
    <t>一般</t>
  </si>
  <si>
    <t>2-5分</t>
  </si>
  <si>
    <t>1万-5万</t>
  </si>
  <si>
    <t>严重</t>
  </si>
  <si>
    <t>5-10分</t>
  </si>
  <si>
    <t>5万-10万</t>
  </si>
  <si>
    <t>很严重</t>
  </si>
  <si>
    <t>10-20分</t>
  </si>
  <si>
    <t>10万以上</t>
  </si>
  <si>
    <t>极其严重</t>
  </si>
  <si>
    <t>当月清0</t>
  </si>
  <si>
    <t>低级失误</t>
  </si>
  <si>
    <t>5K以下</t>
  </si>
  <si>
    <t>5K-3万</t>
  </si>
  <si>
    <t>10-30分</t>
  </si>
  <si>
    <t>3万以上</t>
  </si>
  <si>
    <t>质量异常</t>
  </si>
  <si>
    <t>软件送测异常</t>
  </si>
  <si>
    <t>4分/次</t>
  </si>
  <si>
    <t>Jenkins编译错误</t>
  </si>
  <si>
    <t>1分/次</t>
  </si>
  <si>
    <t>代码审核导致的质量异常事件（视情况而定）</t>
  </si>
  <si>
    <t>占失误分数的30%</t>
  </si>
  <si>
    <t>经办人</t>
  </si>
  <si>
    <t>部门</t>
  </si>
  <si>
    <t>日常工作
（100分）</t>
  </si>
  <si>
    <t>工作质量（20分）</t>
  </si>
  <si>
    <t>个人目标
（20分）</t>
  </si>
  <si>
    <t>部门互评
（10分）</t>
  </si>
  <si>
    <t>绩效加分项（10分）</t>
  </si>
  <si>
    <t>平台设计一部</t>
  </si>
  <si>
    <t>分类</t>
  </si>
  <si>
    <t>细分项</t>
  </si>
  <si>
    <t>描述</t>
  </si>
  <si>
    <t>操作办法以及举例</t>
  </si>
  <si>
    <t>评分/积分总则（以150分为满分计算）</t>
  </si>
  <si>
    <t>上限</t>
  </si>
  <si>
    <t>日常工作</t>
  </si>
  <si>
    <t>项目成效</t>
  </si>
  <si>
    <t>根据解决的项目问题数量及难度</t>
  </si>
  <si>
    <t>【操作办法】细则请参考各组考核标准及jira评估细则
【例子】xxx</t>
  </si>
  <si>
    <t>1. 功能或需求开发部分研发测试通过前，此部分的低级缺陷，等级为NA或降级
2. 问题jira数量以“实际完成日期”和“开发工程师”两个字段为准
规则：
1. 鼓励提升开发质量：功能开发过程中带出的bug视情况降低权重</t>
  </si>
  <si>
    <t>100分</t>
  </si>
  <si>
    <t>工作质量</t>
  </si>
  <si>
    <t>软件质量</t>
  </si>
  <si>
    <t>1. 代码走查
2. 每日代码审核
3. Bug打回率
4. 超期问题：部门成员整体加分，超期问题占比（每个月动态调整）
5. 模块设计评审</t>
  </si>
  <si>
    <t>【操作办法】代码走查、每日代码审核由效能给出数据；Bug打回率、超期问题数据由质量给出；模块设计评审由部门经理给出
【例子】xxx</t>
  </si>
  <si>
    <t>15分</t>
  </si>
  <si>
    <t>个人目标</t>
  </si>
  <si>
    <t>个人业务目标</t>
  </si>
  <si>
    <t>1. 改善目标：CBB目标或者功能元、质量、效率、团队协作、流程等
2. 成长目标
3. 个人关键节点目标</t>
  </si>
  <si>
    <t>【操作办法】每月月总前由工程师填写这四个维度的下月目标，月总评估目标分值以及上月目标完成情况
【例子】xxx</t>
  </si>
  <si>
    <t>月初根据个人目标（OAR）制定的难度及价值进行评定预估得分，月底结合目标达成情况评定最终得分。（工程师制定-&gt;部门经理审核并给出预估得分-&gt;部门公示-&gt;执行监控-&gt;工程师总结达成情况-&gt;部门经理评定最终得分-&gt;部门公示）
A.关键指标：
（1）月度Sprint平均完成率  90%-95%（1分）  95%-100%（2分）
（2）月度项目里程碑达成率100%：0~5分（按难度评估出预估得分）
B.关键事项：0~10分（部门TopN目标， CBB或功能元目标，动态的改善和创新目标等，需部门内全员共识：比如工作提效、质量改善、流程优化、招聘、超期、专利等，项目类改善目标不纳入此项加分）（按难度评估出预估得分）</t>
  </si>
  <si>
    <t>sprint改成1、2、3</t>
  </si>
  <si>
    <t>相关方评价</t>
  </si>
  <si>
    <t>相关方评价
（软件中心内部）</t>
  </si>
  <si>
    <t>1. 团队交付（按时、质量等维度）
2. 团队协作（问题解答、技术协助等）
3. 态度和反馈</t>
  </si>
  <si>
    <t>【操作办法】每月25号之前完成调查问卷评分反馈以及统计
【例子】xxx</t>
  </si>
  <si>
    <t>前20% 5分，前50% 3分，后30% 1分</t>
  </si>
  <si>
    <t>5分</t>
  </si>
  <si>
    <t>绩效加分项</t>
  </si>
  <si>
    <t>团队贡献</t>
  </si>
  <si>
    <t>培养新人：带实习生/新人/外包</t>
  </si>
  <si>
    <t>1. 第1月0-3分，第2月0-2分，第3月0-1分，第4月无（实习生与校招入职新人是同一位，只做一次加分；导师自己及部门团队成员每月根据该导师带新人的成效，确认是否加满该月的分数）
2. 实习考核工作量导师自行登记jira跟进，视情况登记</t>
  </si>
  <si>
    <t>团队建设</t>
  </si>
  <si>
    <t>1. 分享目标
2. 专利目标
3. 文档目标
4. 团队氛围：活动组织等</t>
  </si>
  <si>
    <t>交底书jira登记去除奖励</t>
  </si>
  <si>
    <t>1. 点赞平台等非正式表扬
2. 书面邮件正式表扬</t>
  </si>
  <si>
    <t>1. 点赞平台等非正式表扬：1分（上限≤3分）
2. 个人书面邮件正式表扬：5分
3. 项目组成员邮件正式表扬：2分</t>
  </si>
  <si>
    <t>其他</t>
  </si>
  <si>
    <t>各个部门共同认可特殊贡献
1. S级、A级项目PL增加问卷调查（问卷对象：项目经理+部门经理+该项目的系统开发成员，问卷维度：主导跟进-5、沟通协调-5、专业能力-5，选择题+问答题），根据相关方反馈情况、项目按时达成情况及项目等级，大PL加0-5分，小PL加0-3分</t>
  </si>
  <si>
    <t>酌情</t>
  </si>
  <si>
    <t>满分100分（标准分）
1. 功能或需求开发部分研发测试通过前，此部分的低级缺陷，等级为NA或降级
2. 问题jira数量以“实际完成日期”和“开发工程师”两个字段为准
3. 鼓励提升开发质量：功能开发过程中带出的bug视情况降低权重</t>
  </si>
  <si>
    <t>A</t>
  </si>
  <si>
    <t>B</t>
  </si>
  <si>
    <t>C</t>
  </si>
  <si>
    <t>D</t>
  </si>
  <si>
    <t>NA</t>
  </si>
  <si>
    <t>S</t>
  </si>
  <si>
    <t>总计</t>
  </si>
  <si>
    <t>分数</t>
  </si>
  <si>
    <t>标准分</t>
  </si>
  <si>
    <t>2维过滤器统计: 国内业务部每月Jira数据</t>
  </si>
  <si>
    <t>满分15分
1. 代码走查：1-2分/场（组织者）+ 0.5分/场（参与者有效建议）
2. 代码审核：0.5分/次（审核出异常加分，error 1分，其他0.5分，上限3分）；代码审核数≥30个 +1分，≥50个 +2分（不需要额外登记jira记录代码审核工时）
3. 部门Bug打回率（不区分是否有效）：（≤3%：2分/人，≤5%：1分/人，＞5%：0分/人） 
4. 个人Bug有效打回：-1分/个（特殊情况：相同类型的问题算1个）
5. 超期问题部门达成：3分/人（与质量组达成一致的目标）
6. 设计评审：1-2分/场（组织者）+0.5分/场（参与者有效建议）</t>
  </si>
  <si>
    <t>代码走查</t>
  </si>
  <si>
    <t>代码审核</t>
  </si>
  <si>
    <t>部门Bug打回率</t>
  </si>
  <si>
    <t>个人Bug有效打回</t>
  </si>
  <si>
    <t>超期问题部门达成</t>
  </si>
  <si>
    <t>设计评审</t>
  </si>
  <si>
    <t>代码审核
（≥30个加1分，≥50个加2分）</t>
  </si>
  <si>
    <t>Bug有效打回数</t>
  </si>
  <si>
    <t>超期问题部门达成
（达成为3分）</t>
  </si>
  <si>
    <t>部门BUG打回率
（≤3% 2分，≤5% 1分，＞5% 0分）</t>
  </si>
  <si>
    <t>总审核次数
（“链接”填下方表单）</t>
  </si>
  <si>
    <t>个数</t>
  </si>
  <si>
    <r>
      <rPr>
        <rFont val="宋体"/>
        <b val="false"/>
        <i val="false"/>
        <strike val="false"/>
        <color rgb="FF000000"/>
        <sz val="11"/>
      </rPr>
      <t>1、列出关键事项：​ 根据当月主要任务，列出</t>
    </r>
    <r>
      <rPr>
        <rFont val="宋体"/>
        <b val="true"/>
        <i val="false"/>
        <strike val="false"/>
        <color rgb="FFFF0000"/>
        <sz val="11"/>
      </rPr>
      <t>1-3</t>
    </r>
    <r>
      <rPr>
        <rFont val="宋体"/>
        <b val="false"/>
        <i val="false"/>
        <strike val="false"/>
        <color rgb="FF000000"/>
        <sz val="11"/>
      </rPr>
      <t>项最具难度和价值的关键事项（如“在5号前完成XX模块开发并提测”）。
2、描述目标与成果：​ 每项事项需明确、可衡量（遵循SMART原则）。
3、自我评估难度：​ 从“工作量”和“复杂度”两个维度自我评估难度，作为目标分的参考。</t>
    </r>
  </si>
  <si>
    <r>
      <rPr>
        <rFont val="宋体"/>
        <b val="false"/>
        <i val="false"/>
        <strike val="false"/>
        <color rgb="FF000000"/>
        <sz val="11"/>
      </rPr>
      <t xml:space="preserve">1、聚焦重点：​ 事项不应过多，应聚焦对项目有实质性推动的工作。
2、避免虚化：​ 目标描述应具体，如“优化接口性能”应改为“将XX接口响应时间从200ms降低至50ms”。
3、提前沟通：​ 制定时可与项目经理或技术负责人初步沟通，确保方向正确。
</t>
    </r>
    <r>
      <rPr>
        <rFont val="宋体"/>
        <b val="false"/>
        <i val="false"/>
        <strike val="false"/>
        <color rgb="FFFF0000"/>
        <sz val="11"/>
      </rPr>
      <t>4、当月参与项目无里程碑节点：与部门经理拆出需要完成下一个节点的任务完成占比作为当月关键节点。</t>
    </r>
  </si>
  <si>
    <r>
      <rPr>
        <rFont val="宋体"/>
        <b val="false"/>
        <i val="false"/>
        <strike val="false"/>
        <color rgb="FF000000"/>
        <sz val="11"/>
      </rPr>
      <t>1、审核合理性：​ 判断目标是否与部门方向一致，难度和价值评估是否客观。
2、校准目标分：​ 基于“难度”（工作量+复杂度）给出0-8分的目标分。例如：
1-3分（常规任务，</t>
    </r>
    <r>
      <rPr>
        <rFont val="宋体"/>
        <b val="false"/>
        <i val="false"/>
        <strike val="false"/>
        <color rgb="FFFF0000"/>
        <sz val="11"/>
      </rPr>
      <t>以T14职级为标准的参照耗时：1-3天</t>
    </r>
    <r>
      <rPr>
        <rFont val="宋体"/>
        <b val="false"/>
        <i val="false"/>
        <strike val="false"/>
        <color rgb="FF000000"/>
        <sz val="11"/>
      </rPr>
      <t>）：​ 本部门流程/质量/专项改善、功能元迭代与新增
4-6分（挑战任务，</t>
    </r>
    <r>
      <rPr>
        <rFont val="宋体"/>
        <b val="false"/>
        <i val="false"/>
        <strike val="false"/>
        <color rgb="FFFF0000"/>
        <sz val="11"/>
      </rPr>
      <t>以T14职级为标准的参照耗时：4-6天</t>
    </r>
    <r>
      <rPr>
        <rFont val="宋体"/>
        <b val="false"/>
        <i val="false"/>
        <strike val="false"/>
        <color rgb="FF000000"/>
        <sz val="11"/>
      </rPr>
      <t>）：​ 跨部门流程/质量/专项改善、CBB迭代与新增、新技术攻关、复杂架构设计
7-8分（突破性任务，</t>
    </r>
    <r>
      <rPr>
        <rFont val="宋体"/>
        <b val="false"/>
        <i val="false"/>
        <strike val="false"/>
        <color rgb="FFFF0000"/>
        <sz val="11"/>
      </rPr>
      <t>以T14职级为标准的参照耗时：7-10天</t>
    </r>
    <r>
      <rPr>
        <rFont val="宋体"/>
        <b val="false"/>
        <i val="false"/>
        <strike val="false"/>
        <color rgb="FF000000"/>
        <sz val="11"/>
      </rPr>
      <t>）：​ 技术创新、解决行业级难题。
3、标注价值项：​ 识别出具有高潜在价值（如技术沉淀、流程优化、业务创新）的事项，作为月底加分项的参考。</t>
    </r>
  </si>
  <si>
    <r>
      <rPr>
        <rFont val="宋体"/>
        <b val="false"/>
        <i val="false"/>
        <strike val="false"/>
        <color rgb="FF000000"/>
        <sz val="11"/>
      </rPr>
      <t>1、通过邮件或协作工具（</t>
    </r>
    <r>
      <rPr>
        <rFont val="宋体"/>
        <b val="false"/>
        <i val="false"/>
        <strike val="false"/>
        <color rgb="FFFF0000"/>
        <sz val="11"/>
      </rPr>
      <t>绩效系统</t>
    </r>
    <r>
      <rPr>
        <rFont val="宋体"/>
        <b val="false"/>
        <i val="false"/>
        <strike val="false"/>
        <color rgb="FF000000"/>
        <sz val="11"/>
      </rPr>
      <t>）将所有人的OAR及目标分进行公示。
2、设置短暂的异议期（如1个工作日）。</t>
    </r>
  </si>
  <si>
    <r>
      <rPr>
        <rFont val="宋体"/>
        <b val="false"/>
        <i val="false"/>
        <strike val="false"/>
        <color rgb="FF000000"/>
        <sz val="11"/>
      </rPr>
      <t>项目变化</t>
    </r>
    <r>
      <rPr>
        <rFont val="宋体"/>
        <b val="false"/>
        <i val="false"/>
        <strike val="false"/>
        <color rgb="FFFF0000"/>
        <sz val="11"/>
      </rPr>
      <t>/紧急插入</t>
    </r>
    <r>
      <rPr>
        <rFont val="宋体"/>
        <b val="false"/>
        <i val="false"/>
        <strike val="false"/>
        <color rgb="FF000000"/>
        <sz val="11"/>
      </rPr>
      <t>变更调整</t>
    </r>
  </si>
  <si>
    <r>
      <rPr>
        <rFont val="宋体"/>
        <b val="false"/>
        <i val="false"/>
        <strike val="false"/>
        <color rgb="FF000000"/>
        <sz val="11"/>
      </rPr>
      <t>1、当发生重大变化时，如：项目方向调整、需求大幅变更、关键资源缺失、出现更高优先级的紧急任务</t>
    </r>
    <r>
      <rPr>
        <rFont val="宋体"/>
        <b val="false"/>
        <i val="false"/>
        <strike val="false"/>
        <color rgb="FFFF0000"/>
        <sz val="11"/>
      </rPr>
      <t>（如：事件、售后问题或关键在研项目攻关等）</t>
    </r>
    <r>
      <rPr>
        <rFont val="宋体"/>
        <b val="false"/>
        <i val="false"/>
        <strike val="false"/>
        <color rgb="FF000000"/>
        <sz val="11"/>
      </rPr>
      <t>。
2、发起变更：​ 由工程师或项目经理</t>
    </r>
    <r>
      <rPr>
        <rFont val="宋体"/>
        <b val="false"/>
        <i val="false"/>
        <strike val="false"/>
        <color rgb="FFFF0000"/>
        <sz val="11"/>
      </rPr>
      <t>或部门经理</t>
    </r>
    <r>
      <rPr>
        <rFont val="宋体"/>
        <b val="false"/>
        <i val="false"/>
        <strike val="false"/>
        <color rgb="FF000000"/>
        <sz val="11"/>
      </rPr>
      <t xml:space="preserve">发起，说明变更原因、原目标调整建议、新目标提案。
3、重新审核：​ 部门经理对变更申请进行审核，评估新目标的难度和价值。
4、重新评定得分：​ 基于新目标的难度，重新给出目标分。最终得分应基于调整后的目标进行计算。
5、再次公示：​ 将变更后的目标及得分进行公示，确保透明度。
</t>
    </r>
    <r>
      <rPr>
        <rFont val="宋体"/>
        <b val="false"/>
        <i val="false"/>
        <strike val="false"/>
        <color rgb="FFFF0000"/>
        <sz val="11"/>
      </rPr>
      <t>一天内此流程闭环</t>
    </r>
  </si>
  <si>
    <r>
      <rPr>
        <rFont val="宋体"/>
        <b val="false"/>
        <i val="false"/>
        <strike val="false"/>
        <color rgb="FF000000"/>
        <sz val="11"/>
      </rPr>
      <t>1、评估完成度：​ 基于工程师的总结和客观证据，评估每项目标的完成质量（100%、80%、50%等）。
2、计算基础分：​ 最终得分 = 目标分 × 完成度。例如，一项目标4分的任务100%完成，得4分；80%完成，得3.2分，</t>
    </r>
    <r>
      <rPr>
        <rFont val="宋体"/>
        <b val="true"/>
        <i val="false"/>
        <strike val="false"/>
        <color rgb="FFFF0000"/>
        <sz val="11"/>
      </rPr>
      <t>注意：完成度统计月度增量值，比如第2个月相比第一个月完成度增加了20%，第2个月的完成度就是20%。</t>
    </r>
    <r>
      <rPr>
        <rFont val="宋体"/>
        <b val="false"/>
        <i val="false"/>
        <strike val="false"/>
        <color rgb="FF000000"/>
        <sz val="11"/>
      </rPr>
      <t xml:space="preserve">
3、综合评定：​ 将所有事项的得分（含加分）汇总，得出月度最终得分。</t>
    </r>
  </si>
  <si>
    <r>
      <rPr>
        <rFont val="微软雅黑"/>
        <b val="false"/>
        <i val="false"/>
        <strike val="false"/>
        <color rgb="FFFF0000"/>
        <sz val="10"/>
      </rPr>
      <t>1. 代码走查：1-2分/场（组织者）+ 0.5分/场（参与者有效建议）</t>
    </r>
    <r>
      <rPr>
        <rFont val="微软雅黑"/>
        <b val="false"/>
        <i val="false"/>
        <strike val="false"/>
        <color rgb="FF000000"/>
        <sz val="10"/>
      </rPr>
      <t xml:space="preserve">
2. 代码审核：0.5分/次（审核出异常加分，error 1分，其他0.5分，上限3分）；代码审核数≥30个 +1分，≥50个 +2分（不需要额外登记jira记录代码审核工时）
</t>
    </r>
    <r>
      <rPr>
        <rFont val="微软雅黑"/>
        <b val="false"/>
        <i val="false"/>
        <strike val="false"/>
        <color rgb="FFFF0000"/>
        <sz val="10"/>
      </rPr>
      <t>3. 部门Bug打回率（不区分是否有效）：（≤3%：2分/人，≤5%：1分/人，＞5%：0分/人） 
4. 个人Bug有效打回：-1分/个（特殊情况：相同类型的问题算1个）</t>
    </r>
    <r>
      <rPr>
        <rFont val="微软雅黑"/>
        <b val="false"/>
        <i val="false"/>
        <strike val="false"/>
        <color rgb="FF000000"/>
        <sz val="10"/>
      </rPr>
      <t xml:space="preserve">
5. 超期问题部门达成：</t>
    </r>
    <r>
      <rPr>
        <rFont val="微软雅黑"/>
        <b val="false"/>
        <i val="false"/>
        <strike val="false"/>
        <color rgb="FFFF0000"/>
        <sz val="10"/>
      </rPr>
      <t>3</t>
    </r>
    <r>
      <rPr>
        <rFont val="微软雅黑"/>
        <b val="false"/>
        <i val="false"/>
        <strike val="false"/>
        <color rgb="FF000000"/>
        <sz val="10"/>
      </rPr>
      <t xml:space="preserve">分/人（与质量组达成一致的目标）
</t>
    </r>
    <r>
      <rPr>
        <rFont val="微软雅黑"/>
        <b val="false"/>
        <i val="false"/>
        <strike val="false"/>
        <color rgb="FFFF0000"/>
        <sz val="10"/>
      </rPr>
      <t>6. 设计评审：1-2分/场（组织者）+0.5分/场（参与者有效建议）</t>
    </r>
  </si>
  <si>
    <r>
      <rPr>
        <rFont val="微软雅黑"/>
        <b val="false"/>
        <i val="false"/>
        <strike val="false"/>
        <color rgb="FF000000"/>
        <sz val="10"/>
      </rPr>
      <t>如下维度，共8分：
1. 分享目标：1-2分/次（上限≤4分）
2. 专利目标：交底书登记jira，提案通过</t>
    </r>
    <r>
      <rPr>
        <rFont val="微软雅黑"/>
        <b val="false"/>
        <i val="false"/>
        <strike val="false"/>
        <color rgb="FFFF0000"/>
        <sz val="10"/>
      </rPr>
      <t>2</t>
    </r>
    <r>
      <rPr>
        <rFont val="微软雅黑"/>
        <b val="false"/>
        <i val="false"/>
        <strike val="false"/>
        <color rgb="FF000000"/>
        <sz val="10"/>
      </rPr>
      <t>分，交局通过3分（上限≤</t>
    </r>
    <r>
      <rPr>
        <rFont val="微软雅黑"/>
        <b val="false"/>
        <i val="false"/>
        <strike val="false"/>
        <color rgb="FFFF0000"/>
        <sz val="10"/>
      </rPr>
      <t>5</t>
    </r>
    <r>
      <rPr>
        <rFont val="微软雅黑"/>
        <b val="false"/>
        <i val="false"/>
        <strike val="false"/>
        <color rgb="FF000000"/>
        <sz val="10"/>
      </rPr>
      <t xml:space="preserve">分）
3. 文档目标：1分/份（上限≤2分）
4. 团队氛围：1-2分/次（上限≤2分）
5. 微创新：根据项目结项成效加1-3分（上限3分）
</t>
    </r>
    <r>
      <rPr>
        <rFont val="微软雅黑"/>
        <b val="false"/>
        <i val="false"/>
        <strike val="false"/>
        <color rgb="FFFF0000"/>
        <sz val="10"/>
      </rPr>
      <t>6. 招聘面试：0.5分/人（上限3分，超出6人部分按日常工作量统计）</t>
    </r>
  </si>
</sst>
</file>

<file path=xl/styles.xml><?xml version="1.0" encoding="utf-8"?>
<styleSheet xmlns="http://schemas.openxmlformats.org/spreadsheetml/2006/main">
  <numFmts count="1">
    <numFmt numFmtId="300" formatCode="0.00_ "/>
  </numFmts>
  <fonts count="25">
    <font>
      <name val="等线"/>
      <charset val="134"/>
      <family val="2"/>
      <color theme="1"/>
      <sz val="10"/>
      <scheme val="minor"/>
    </font>
    <font>
      <name val="等线"/>
      <charset val="134"/>
      <color rgb="FF175CEB"/>
      <sz val="10"/>
      <u/>
      <scheme val="minor"/>
    </font>
    <font>
      <name val="Segoe UI Symbol"/>
      <family val="2"/>
      <color rgb="FF000000"/>
      <sz val="10"/>
    </font>
    <font>
      <name val="宋体"/>
      <b val="true"/>
      <color rgb="FFFFFFFF"/>
      <sz val="11"/>
    </font>
    <font>
      <name val="宋体"/>
      <sz val="11"/>
    </font>
    <font>
      <name val="宋体"/>
      <sz val="12"/>
    </font>
    <font>
      <name val="宋体"/>
      <b val="true"/>
      <sz val="12"/>
    </font>
    <font>
      <name val="Arial"/>
    </font>
    <font>
      <name val="宋体"/>
      <b val="true"/>
    </font>
    <font>
      <name val="宋体"/>
    </font>
    <font>
      <name val="宋体"/>
      <sz val="10"/>
    </font>
    <font>
      <name val="宋体"/>
      <color rgb="FFFF0000"/>
      <sz val="12"/>
    </font>
    <font>
      <b val="true"/>
    </font>
    <font>
      <sz val="10"/>
    </font>
    <font>
      <color rgb="FFFF0000"/>
    </font>
    <font>
      <color rgb="FFFF0000"/>
      <sz val="10"/>
    </font>
    <font>
      <name val="Helvetica Neue"/>
      <b val="true"/>
      <color rgb="FFFFFFFF"/>
      <sz val="9"/>
    </font>
    <font>
      <name val="宋体"/>
      <color rgb="FF6B778C"/>
      <sz val="9"/>
    </font>
    <font>
      <name val="Helvetica Neue"/>
      <color rgb="FF6B778C"/>
      <sz val="9"/>
    </font>
    <font>
      <name val="宋体"/>
      <b val="true"/>
      <color rgb="FF0052CC"/>
      <sz val="12"/>
    </font>
    <font>
      <name val="Helvetica Neue"/>
      <b val="true"/>
      <color rgb="FF6B778C"/>
      <sz val="9"/>
    </font>
    <font>
      <name val="Helvetica Neue"/>
      <color rgb="FF6B778C"/>
    </font>
    <font>
      <name val="Helvetica Neue"/>
      <color rgb="FF0052CC"/>
    </font>
    <font>
      <name val="Helvetica Neue"/>
      <b val="true"/>
      <color rgb="FF0052CC"/>
    </font>
    <font>
      <name val="Helvetica Neue"/>
      <b val="true"/>
      <color rgb="FF6B778C"/>
    </font>
  </fonts>
  <fills count="16">
    <fill>
      <patternFill patternType="none"/>
    </fill>
    <fill>
      <patternFill patternType="gray125"/>
    </fill>
    <fill>
      <patternFill patternType="solid">
        <fgColor rgb="FF00B0F0"/>
        <bgColor auto="true"/>
      </patternFill>
    </fill>
    <fill>
      <patternFill patternType="solid">
        <fgColor rgb="FFFDE9D9"/>
        <bgColor auto="true"/>
      </patternFill>
    </fill>
    <fill>
      <patternFill patternType="solid">
        <fgColor rgb="FFC5D9F1"/>
        <bgColor auto="true"/>
      </patternFill>
    </fill>
    <fill>
      <patternFill patternType="solid">
        <fgColor rgb="FFFFFFFF"/>
        <bgColor auto="true"/>
      </patternFill>
    </fill>
    <fill>
      <patternFill patternType="solid">
        <fgColor rgb="FFFFF9E3"/>
        <bgColor auto="true"/>
      </patternFill>
    </fill>
    <fill>
      <patternFill patternType="solid">
        <fgColor rgb="FFE5F6FF"/>
        <bgColor auto="true"/>
      </patternFill>
    </fill>
    <fill>
      <patternFill patternType="solid">
        <fgColor rgb="FFEAFAF1"/>
        <bgColor auto="true"/>
      </patternFill>
    </fill>
    <fill>
      <patternFill patternType="solid">
        <fgColor rgb="FFC3EAD5"/>
        <bgColor auto="true"/>
      </patternFill>
    </fill>
    <fill>
      <patternFill patternType="solid">
        <fgColor rgb="FFFDE9D9"/>
        <bgColor auto="true"/>
      </patternFill>
    </fill>
    <fill>
      <patternFill patternType="solid">
        <fgColor rgb="FF95B3D7"/>
        <bgColor auto="true"/>
      </patternFill>
    </fill>
    <fill>
      <patternFill patternType="solid">
        <fgColor rgb="FFFFFF00"/>
        <bgColor auto="true"/>
      </patternFill>
    </fill>
    <fill>
      <patternFill patternType="solid">
        <fgColor rgb="FF92D050"/>
        <bgColor auto="true"/>
      </patternFill>
    </fill>
    <fill>
      <patternFill patternType="solid">
        <fgColor rgb="FFFFC000"/>
        <bgColor auto="true"/>
      </patternFill>
    </fill>
    <fill>
      <patternFill patternType="solid">
        <fgColor rgb="FFF5F5F5"/>
        <bgColor auto="true"/>
      </patternFill>
    </fill>
  </fills>
  <borders count="11">
    <border>
      <left/>
      <right/>
      <top/>
      <bottom/>
      <diagonal/>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medium">
        <color rgb="FFCCCCCC"/>
      </left>
    </border>
  </borders>
  <cellStyleXfs>
    <xf numFmtId="0" fontId="0" fillId="0" borderId="0" xfId="0">
      <alignment vertical="center"/>
    </xf>
  </cellStyleXfs>
  <cellXfs count="11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xf>
    <xf fontId="3" fillId="2" borderId="0" xfId="0">
      <alignment vertical="center"/>
    </xf>
    <xf fontId="4" fillId="0" borderId="1" xfId="0">
      <alignment vertical="center" wrapText="true"/>
    </xf>
    <xf fontId="4" fillId="0" borderId="1" xfId="0">
      <alignment vertical="center"/>
    </xf>
    <xf fontId="5" fillId="3" borderId="1" xfId="0">
      <alignment vertical="center" wrapText="true"/>
    </xf>
    <xf fontId="0" fillId="0" borderId="1" xfId="0">
      <alignment vertical="center"/>
    </xf>
    <xf fontId="5" fillId="0" borderId="0" xfId="0">
      <alignment horizontal="center" vertical="center"/>
    </xf>
    <xf fontId="5" fillId="0" borderId="0" xfId="0">
      <alignment vertical="center"/>
    </xf>
    <xf fontId="6" fillId="4" borderId="2" xfId="0">
      <alignment horizontal="center" vertical="center"/>
    </xf>
    <xf fontId="6" fillId="4" borderId="3" xfId="0">
      <alignment horizontal="center" vertical="center" wrapText="true"/>
    </xf>
    <xf fontId="6" fillId="4" borderId="3" xfId="0">
      <alignment horizontal="center" vertical="top" wrapText="true"/>
    </xf>
    <xf fontId="6" fillId="4" borderId="4" xfId="0">
      <alignment horizontal="center" vertical="center" wrapText="true"/>
    </xf>
    <xf fontId="6" fillId="4" borderId="2" xfId="0">
      <alignment horizontal="center" vertical="center" wrapText="true"/>
    </xf>
    <xf fontId="6" fillId="4" borderId="5" xfId="0">
      <alignment horizontal="center" vertical="center" wrapText="true"/>
    </xf>
    <xf fontId="6" fillId="4" borderId="1" xfId="0">
      <alignment horizontal="center" vertical="center" wrapText="true"/>
    </xf>
    <xf fontId="5" fillId="3" borderId="6" xfId="0">
      <alignment horizontal="center" vertical="bottom"/>
    </xf>
    <xf fontId="5" fillId="3" borderId="1" xfId="0">
      <alignment horizontal="center" vertical="center"/>
    </xf>
    <xf numFmtId="0" fontId="7" fillId="3" borderId="1" xfId="0">
      <alignment horizontal="center" vertical="center" wrapText="true"/>
    </xf>
    <xf numFmtId="0" fontId="7" fillId="3" borderId="1" xfId="0">
      <alignment horizontal="center" vertical="center"/>
    </xf>
    <xf numFmtId="0" fontId="5" fillId="0" borderId="1" xfId="0">
      <alignment horizontal="center" vertical="center"/>
    </xf>
    <xf numFmtId="0" fontId="5" fillId="3" borderId="1" xfId="0">
      <alignment horizontal="center" vertical="center" wrapText="true"/>
    </xf>
    <xf fontId="5" fillId="0" borderId="6" xfId="0">
      <alignment horizontal="center" vertical="center"/>
    </xf>
    <xf numFmtId="0" fontId="5" fillId="0" borderId="6" xfId="0">
      <alignment horizontal="center" vertical="center"/>
    </xf>
    <xf fontId="5" fillId="0" borderId="1" xfId="0">
      <alignment vertical="center"/>
    </xf>
    <xf fontId="5" fillId="3" borderId="1" xfId="0">
      <alignment horizontal="center" vertical="center" wrapText="true"/>
    </xf>
    <xf fontId="5" fillId="3" borderId="7" xfId="0">
      <alignment horizontal="center" vertical="bottom"/>
    </xf>
    <xf fontId="5" fillId="3" borderId="8" xfId="0">
      <alignment horizontal="center" vertical="center" wrapText="true"/>
    </xf>
    <xf fontId="5" fillId="3" borderId="1" xfId="0">
      <alignment horizontal="center" vertical="bottom"/>
    </xf>
    <xf fontId="8" fillId="5" borderId="0" xfId="0">
      <alignment horizontal="center" vertical="center" wrapText="true"/>
    </xf>
    <xf fontId="9" fillId="5" borderId="0" xfId="0">
      <alignment vertical="center"/>
    </xf>
    <xf fontId="5" fillId="5" borderId="0" xfId="0">
      <alignment vertical="center"/>
    </xf>
    <xf fontId="8" fillId="6" borderId="1" xfId="0">
      <alignment horizontal="center" vertical="center" wrapText="true"/>
    </xf>
    <xf fontId="9" fillId="6" borderId="3" xfId="0">
      <alignment horizontal="center" vertical="center" wrapText="true"/>
    </xf>
    <xf fontId="0" fillId="0" borderId="3" xfId="0">
      <alignment vertical="center"/>
    </xf>
    <xf fontId="10" fillId="6" borderId="3" xfId="0">
      <alignment horizontal="center" vertical="center" wrapText="true"/>
    </xf>
    <xf fontId="9" fillId="6" borderId="1" xfId="0">
      <alignment horizontal="center" vertical="center" wrapText="true"/>
    </xf>
    <xf fontId="10" fillId="6" borderId="1" xfId="0">
      <alignment horizontal="center" vertical="center" wrapText="true"/>
    </xf>
    <xf fontId="9" fillId="6" borderId="1" xfId="0">
      <alignment horizontal="center" vertical="center"/>
    </xf>
    <xf fontId="9" fillId="7" borderId="1" xfId="0">
      <alignment horizontal="center" vertical="center" wrapText="true"/>
    </xf>
    <xf fontId="9" fillId="8" borderId="1" xfId="0">
      <alignment horizontal="center" vertical="center" wrapText="true"/>
    </xf>
    <xf fontId="9" fillId="0" borderId="1" xfId="0">
      <alignment horizontal="center" vertical="center"/>
    </xf>
    <xf fontId="9" fillId="9" borderId="1" xfId="0">
      <alignment horizontal="center" vertical="center" wrapText="true"/>
    </xf>
    <xf fontId="9" fillId="7" borderId="1" xfId="0">
      <alignment vertical="center" wrapText="true"/>
    </xf>
    <xf fontId="9" fillId="6" borderId="8" xfId="0">
      <alignment horizontal="center" vertical="center"/>
    </xf>
    <xf fontId="5" fillId="3" borderId="1" xfId="0">
      <alignment vertical="bottom" wrapText="true"/>
    </xf>
    <xf fontId="6" fillId="4" borderId="1" xfId="0">
      <alignment horizontal="center" vertical="center"/>
    </xf>
    <xf numFmtId="300" fontId="5" fillId="0" borderId="1" xfId="0">
      <alignment horizontal="center" vertical="center"/>
    </xf>
    <xf fontId="5" fillId="0" borderId="1" xfId="0">
      <alignment horizontal="center" vertical="center"/>
    </xf>
    <xf numFmtId="300" fontId="5" fillId="3" borderId="1" xfId="0">
      <alignment horizontal="center" vertical="center"/>
    </xf>
    <xf fontId="5" fillId="4" borderId="1" xfId="0">
      <alignment horizontal="center" vertical="center"/>
    </xf>
    <xf fontId="6" fillId="4" borderId="9" xfId="0">
      <alignment horizontal="center" vertical="center" wrapText="true"/>
    </xf>
    <xf numFmtId="0" fontId="5" fillId="3" borderId="1" xfId="0">
      <alignment horizontal="center" vertical="center"/>
    </xf>
    <xf fontId="6" fillId="4" borderId="1" xfId="0">
      <alignment horizontal="center" vertical="top" wrapText="true"/>
    </xf>
    <xf fontId="5" fillId="0" borderId="8" xfId="0">
      <alignment horizontal="center" vertical="center"/>
    </xf>
    <xf fontId="5" fillId="3" borderId="8" xfId="0">
      <alignment horizontal="center" vertical="center"/>
    </xf>
    <xf fontId="5" fillId="10" borderId="1" xfId="0">
      <alignment horizontal="center" vertical="bottom"/>
    </xf>
    <xf fontId="5" fillId="10" borderId="1" xfId="0">
      <alignment horizontal="center" vertical="center"/>
    </xf>
    <xf fontId="5" fillId="0" borderId="0" xfId="0">
      <alignment horizontal="center" vertical="bottom"/>
    </xf>
    <xf fontId="6" fillId="4" borderId="6" xfId="0">
      <alignment horizontal="center" vertical="center"/>
    </xf>
    <xf fontId="5" fillId="0" borderId="1" xfId="0">
      <alignment horizontal="center" vertical="center" wrapText="true"/>
    </xf>
    <xf fontId="11" fillId="0" borderId="1" xfId="0">
      <alignment horizontal="center" vertical="center"/>
    </xf>
    <xf fontId="5" fillId="0" borderId="1" xfId="0">
      <alignment horizontal="center" vertical="bottom"/>
    </xf>
    <xf fontId="12" fillId="11" borderId="1" xfId="0">
      <alignment horizontal="center" vertical="center" wrapText="true"/>
    </xf>
    <xf fontId="12" fillId="0" borderId="1" xfId="0">
      <alignment horizontal="center" vertical="center" wrapText="true"/>
    </xf>
    <xf fontId="0" fillId="0" borderId="1" xfId="0">
      <alignment horizontal="center" vertical="center" wrapText="true"/>
    </xf>
    <xf fontId="0" fillId="0" borderId="1" xfId="0">
      <alignment vertical="center" wrapText="true"/>
    </xf>
    <xf fontId="13" fillId="0" borderId="1" xfId="0">
      <alignment vertical="center" wrapText="true"/>
    </xf>
    <xf numFmtId="9" fontId="13" fillId="0" borderId="1" xfId="0">
      <alignment horizontal="left" vertical="center" wrapText="true"/>
    </xf>
    <xf numFmtId="9" fontId="12" fillId="0" borderId="1" xfId="0">
      <alignment horizontal="center" vertical="center" wrapText="true"/>
    </xf>
    <xf fontId="12" fillId="12" borderId="1" xfId="0">
      <alignment horizontal="center" vertical="center" wrapText="true"/>
    </xf>
    <xf fontId="0" fillId="12" borderId="1" xfId="0">
      <alignment horizontal="center" vertical="center" wrapText="true"/>
    </xf>
    <xf fontId="13" fillId="12" borderId="1" xfId="0">
      <alignment vertical="center" wrapText="true"/>
    </xf>
    <xf fontId="14" fillId="12" borderId="1" xfId="0">
      <alignment vertical="center" wrapText="true"/>
    </xf>
    <xf numFmtId="9" fontId="12" fillId="12" borderId="1" xfId="0">
      <alignment horizontal="center" vertical="center" wrapText="true"/>
    </xf>
    <xf fontId="15" fillId="12" borderId="8" xfId="0">
      <alignment vertical="center" wrapText="true"/>
    </xf>
    <xf fontId="0" fillId="0" borderId="8" xfId="0">
      <alignment vertical="center"/>
    </xf>
    <xf fontId="13" fillId="12" borderId="1" xfId="0">
      <alignment horizontal="center" vertical="center" wrapText="true"/>
    </xf>
    <xf fontId="13" fillId="12" borderId="6" xfId="0">
      <alignment vertical="center" wrapText="true"/>
    </xf>
    <xf fontId="0" fillId="12" borderId="1" xfId="0">
      <alignment vertical="center" wrapText="true"/>
    </xf>
    <xf numFmtId="9" fontId="12" fillId="12" borderId="9" xfId="0">
      <alignment horizontal="center" vertical="center" wrapText="true"/>
    </xf>
    <xf fontId="12" fillId="13" borderId="1" xfId="0">
      <alignment horizontal="center" vertical="center" wrapText="true"/>
    </xf>
    <xf fontId="0" fillId="13" borderId="1" xfId="0">
      <alignment horizontal="center" vertical="center" wrapText="true"/>
    </xf>
    <xf fontId="0" fillId="13" borderId="1" xfId="0">
      <alignment vertical="center" wrapText="true"/>
    </xf>
    <xf fontId="13" fillId="13" borderId="3" xfId="0">
      <alignment vertical="center" wrapText="true"/>
    </xf>
    <xf fontId="13" fillId="13" borderId="1" xfId="0">
      <alignment vertical="center" wrapText="true"/>
    </xf>
    <xf fontId="12" fillId="14" borderId="1" xfId="0">
      <alignment horizontal="center" vertical="center" wrapText="true"/>
    </xf>
    <xf fontId="13" fillId="14" borderId="1" xfId="0">
      <alignment horizontal="center" vertical="center" wrapText="true"/>
    </xf>
    <xf fontId="0" fillId="14" borderId="1" xfId="0">
      <alignment vertical="center" wrapText="true"/>
    </xf>
    <xf fontId="0" fillId="14" borderId="1" xfId="0">
      <alignment horizontal="center" vertical="center" wrapText="true"/>
    </xf>
    <xf fontId="12" fillId="14" borderId="1" xfId="0">
      <alignment horizontal="center" vertical="center"/>
    </xf>
    <xf fontId="0" fillId="14" borderId="1" xfId="0">
      <alignment horizontal="center" vertical="center"/>
    </xf>
    <xf fontId="0" fillId="14" borderId="1" xfId="0">
      <alignment vertical="center"/>
    </xf>
    <xf fontId="0" fillId="14" borderId="9" xfId="0">
      <alignment vertical="center" wrapText="true"/>
    </xf>
    <xf fontId="5" fillId="3" borderId="0" xfId="0">
      <alignment vertical="center" wrapText="true"/>
    </xf>
    <xf fontId="5" fillId="4" borderId="6" xfId="0">
      <alignment horizontal="center" vertical="bottom"/>
    </xf>
    <xf fontId="5" fillId="4" borderId="1" xfId="0">
      <alignment horizontal="center" vertical="center" wrapText="true"/>
    </xf>
    <xf fontId="5" fillId="4" borderId="1" xfId="0">
      <alignment horizontal="center" vertical="bottom" wrapText="true"/>
    </xf>
    <xf fontId="5" fillId="0" borderId="1" xfId="0">
      <alignment horizontal="center" vertical="bottom" wrapText="true"/>
    </xf>
    <xf fontId="5" fillId="0" borderId="8" xfId="0">
      <alignment horizontal="center" vertical="center" wrapText="true"/>
    </xf>
    <xf fontId="16" fillId="0" borderId="0" xfId="0">
      <alignment vertical="center" wrapText="true"/>
    </xf>
    <xf fontId="17" fillId="0" borderId="0" xfId="0">
      <alignment vertical="center" wrapText="true"/>
    </xf>
    <xf fontId="5" fillId="0" borderId="0" xfId="0">
      <alignment horizontal="center" vertical="bottom" wrapText="true"/>
    </xf>
    <xf fontId="18" fillId="0" borderId="0" xfId="0">
      <alignment vertical="center" wrapText="true"/>
    </xf>
    <xf fontId="19" fillId="15" borderId="10" xfId="0">
      <alignment vertical="center" wrapText="true"/>
    </xf>
    <xf fontId="20" fillId="0" borderId="0" xfId="0">
      <alignment vertical="center" wrapText="true"/>
    </xf>
    <xf fontId="21" fillId="0" borderId="0" xfId="0">
      <alignment vertical="center" wrapText="true"/>
    </xf>
    <xf fontId="22" fillId="0" borderId="0" xfId="0">
      <alignment vertical="center" wrapText="true"/>
    </xf>
    <xf fontId="23" fillId="15" borderId="10" xfId="0">
      <alignment vertical="center" wrapText="true"/>
    </xf>
    <xf fontId="24" fillId="15" borderId="0" xfId="0">
      <alignment vertical="center" wrapText="true"/>
    </xf>
    <xf fontId="23" fillId="15" borderId="0" xfId="0">
      <alignment vertical="center" wrapText="true"/>
    </xf>
    <xf fontId="23" fillId="15" borderId="10" xfId="0">
      <alignment horizontal="left" vertical="center" wrapText="true"/>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4" Type="http://schemas.openxmlformats.org/officeDocument/2006/relationships/worksheet" Target="worksheets/sheet2.xml" /><Relationship Id="rId1" Type="http://schemas.openxmlformats.org/officeDocument/2006/relationships/theme" Target="theme/theme1.xml" /><Relationship Id="rId5" Type="http://schemas.openxmlformats.org/officeDocument/2006/relationships/worksheet" Target="worksheets/sheet3.xml" /><Relationship Id="rId0" Type="http://schemas.openxmlformats.org/officeDocument/2006/relationships/sharedStrings" Target="sharedStrings.xml" /><Relationship Id="rId8" Type="http://schemas.openxmlformats.org/officeDocument/2006/relationships/worksheet" Target="worksheets/sheet6.xml" /><Relationship Id="rId10" Type="http://schemas.openxmlformats.org/officeDocument/2006/relationships/worksheet" Target="worksheets/sheet8.xml" /><Relationship Id="rId9" Type="http://schemas.openxmlformats.org/officeDocument/2006/relationships/worksheet" Target="worksheets/sheet7.xml" /><Relationship Id="rId11" Type="http://schemas.openxmlformats.org/officeDocument/2006/relationships/worksheet" Target="worksheets/sheet9.xml" /><Relationship Id="rId6" Type="http://schemas.openxmlformats.org/officeDocument/2006/relationships/worksheet" Target="worksheets/sheet4.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1_绩效标准4.2"/>
  <dimension ref="H19"/>
  <sheetViews>
    <sheetView showGridLines="true" workbookViewId="0"/>
  </sheetViews>
  <cols>
    <col min="1" max="1" width="6.71094" customWidth="true"/>
    <col min="2" max="2" width="15.7109" customWidth="true"/>
    <col min="3" max="3" width="19.7109" customWidth="true"/>
    <col min="4" max="4" width="22.7109" customWidth="true"/>
    <col min="5" max="5" width="6.71094" customWidth="true"/>
    <col min="6" max="6" width="28.7109" customWidth="true"/>
    <col min="7" max="7" width="17.7109" customWidth="true"/>
    <col min="8" max="8" width="6.71094" customWidth="true"/>
  </cols>
  <sheetData>
    <row r="1" spans="1:8">
      <c r="A1" s="66" t="s">
        <v>106</v>
      </c>
      <c r="B1" s="66" t="s">
        <v>107</v>
      </c>
      <c r="C1" s="66" t="s">
        <v>108</v>
      </c>
      <c r="D1" s="66" t="s">
        <v>109</v>
      </c>
      <c r="E1" s="66" t="s">
        <v>110</v>
      </c>
      <c r="F1" s="9" t="s"/>
      <c r="G1" s="66" t="s">
        <v>111</v>
      </c>
      <c r="H1" s="11" t="s"/>
    </row>
    <row r="2" spans="1:8">
      <c r="A2" s="67" t="s">
        <v>112</v>
      </c>
      <c r="B2" s="68" t="s">
        <v>113</v>
      </c>
      <c r="C2" s="69" t="s">
        <v>114</v>
      </c>
      <c r="D2" s="70" t="s">
        <v>115</v>
      </c>
      <c r="E2" s="71" t="s">
        <v>116</v>
      </c>
      <c r="F2" s="9" t="s"/>
      <c r="G2" s="72" t="s">
        <v>117</v>
      </c>
      <c r="H2" s="11" t="s"/>
    </row>
    <row r="3" spans="1:8">
      <c r="A3" s="73" t="s">
        <v>118</v>
      </c>
      <c r="B3" s="74" t="s">
        <v>119</v>
      </c>
      <c r="C3" s="75" t="s">
        <v>120</v>
      </c>
      <c r="D3" s="75" t="s">
        <v>121</v>
      </c>
      <c r="E3" s="76" t="s">
        <v>178</v>
      </c>
      <c r="F3" s="9" t="s"/>
      <c r="G3" s="77" t="s">
        <v>122</v>
      </c>
      <c r="H3" s="11" t="s"/>
    </row>
    <row r="4" spans="1:8">
      <c r="A4" s="73" t="s">
        <v>123</v>
      </c>
      <c r="B4" s="74" t="s">
        <v>124</v>
      </c>
      <c r="C4" s="75" t="s">
        <v>125</v>
      </c>
      <c r="D4" s="75" t="s">
        <v>126</v>
      </c>
      <c r="E4" s="78" t="s">
        <v>127</v>
      </c>
      <c r="F4" s="79" t="s"/>
      <c r="G4" s="77" t="s">
        <v>122</v>
      </c>
      <c r="H4" s="11" t="s">
        <v>128</v>
      </c>
    </row>
    <row r="5" spans="1:8">
      <c r="A5" s="73" t="s">
        <v>129</v>
      </c>
      <c r="B5" s="80" t="s">
        <v>130</v>
      </c>
      <c r="C5" s="75" t="s">
        <v>131</v>
      </c>
      <c r="D5" s="81" t="s">
        <v>132</v>
      </c>
      <c r="E5" s="82" t="s">
        <v>133</v>
      </c>
      <c r="F5" s="9" t="s"/>
      <c r="G5" s="83" t="s">
        <v>134</v>
      </c>
      <c r="H5" s="11" t="s"/>
    </row>
    <row r="6" spans="1:8">
      <c r="A6" s="84" t="s">
        <v>135</v>
      </c>
      <c r="B6" s="85" t="s">
        <v>136</v>
      </c>
      <c r="C6" s="86" t="s">
        <v>137</v>
      </c>
      <c r="D6" s="85" t="s"/>
      <c r="E6" s="87" t="s">
        <v>138</v>
      </c>
      <c r="F6" s="37" t="s"/>
      <c r="G6" s="84" t="s">
        <v>122</v>
      </c>
      <c r="H6" s="11" t="s"/>
    </row>
    <row r="7" spans="1:8">
      <c r="A7" s="9" t="s"/>
      <c r="B7" s="85" t="s">
        <v>139</v>
      </c>
      <c r="C7" s="88" t="s">
        <v>140</v>
      </c>
      <c r="D7" s="85" t="s"/>
      <c r="E7" s="86" t="s">
        <v>179</v>
      </c>
      <c r="F7" s="9" t="s"/>
      <c r="G7" s="9" t="s"/>
      <c r="H7" s="11" t="s">
        <v>141</v>
      </c>
    </row>
    <row r="8" spans="1:8">
      <c r="A8" s="9" t="s"/>
      <c r="B8" s="85" t="s">
        <v>32</v>
      </c>
      <c r="C8" s="88" t="s">
        <v>142</v>
      </c>
      <c r="D8" s="85" t="s"/>
      <c r="E8" s="88" t="s">
        <v>143</v>
      </c>
      <c r="F8" s="9" t="s"/>
      <c r="G8" s="9" t="s"/>
      <c r="H8" s="11" t="s"/>
    </row>
    <row r="9" spans="1:8">
      <c r="A9" s="9" t="s"/>
      <c r="B9" s="85" t="s">
        <v>144</v>
      </c>
      <c r="C9" s="88" t="s">
        <v>145</v>
      </c>
      <c r="D9" s="9" t="s"/>
      <c r="E9" s="9" t="s"/>
      <c r="F9" s="9" t="s"/>
      <c r="G9" s="84" t="s">
        <v>146</v>
      </c>
      <c r="H9" s="11" t="s"/>
    </row>
    <row r="10" spans="1:8">
      <c r="A10" s="89" t="s">
        <v>72</v>
      </c>
      <c r="B10" s="90" t="s">
        <v>73</v>
      </c>
      <c r="C10" s="91" t="s">
        <v>74</v>
      </c>
      <c r="D10" s="92" t="s"/>
      <c r="E10" s="91" t="s">
        <v>75</v>
      </c>
      <c r="F10" s="9" t="s"/>
      <c r="G10" s="93" t="s">
        <v>76</v>
      </c>
      <c r="H10" s="11" t="s"/>
    </row>
    <row r="11" spans="1:8">
      <c r="A11" s="9" t="s"/>
      <c r="B11" s="9" t="s"/>
      <c r="C11" s="91" t="s">
        <v>77</v>
      </c>
      <c r="D11" s="92" t="s"/>
      <c r="E11" s="91" t="s">
        <v>78</v>
      </c>
      <c r="F11" s="9" t="s"/>
      <c r="G11" s="93" t="s">
        <v>79</v>
      </c>
      <c r="H11" s="11" t="s"/>
    </row>
    <row r="12" spans="1:8">
      <c r="A12" s="9" t="s"/>
      <c r="B12" s="9" t="s"/>
      <c r="C12" s="91" t="s">
        <v>80</v>
      </c>
      <c r="D12" s="92" t="s"/>
      <c r="E12" s="91" t="s">
        <v>81</v>
      </c>
      <c r="F12" s="9" t="s"/>
      <c r="G12" s="93" t="s">
        <v>82</v>
      </c>
      <c r="H12" s="11" t="s"/>
    </row>
    <row r="13" spans="1:8">
      <c r="A13" s="9" t="s"/>
      <c r="B13" s="9" t="s"/>
      <c r="C13" s="91" t="s">
        <v>83</v>
      </c>
      <c r="D13" s="92" t="s"/>
      <c r="E13" s="91" t="s">
        <v>84</v>
      </c>
      <c r="F13" s="9" t="s"/>
      <c r="G13" s="89" t="s">
        <v>85</v>
      </c>
      <c r="H13" s="11" t="s"/>
    </row>
    <row r="14" spans="1:8">
      <c r="A14" s="9" t="s"/>
      <c r="B14" s="94" t="s">
        <v>86</v>
      </c>
      <c r="C14" s="95" t="s">
        <v>87</v>
      </c>
      <c r="D14" s="94" t="s"/>
      <c r="E14" s="91" t="s">
        <v>75</v>
      </c>
      <c r="F14" s="9" t="s"/>
      <c r="G14" s="93" t="s">
        <v>79</v>
      </c>
      <c r="H14" s="11" t="s"/>
    </row>
    <row r="15" spans="1:8">
      <c r="A15" s="9" t="s"/>
      <c r="B15" s="9" t="s"/>
      <c r="C15" s="95" t="s">
        <v>88</v>
      </c>
      <c r="D15" s="94" t="s"/>
      <c r="E15" s="91" t="s">
        <v>78</v>
      </c>
      <c r="F15" s="9" t="s"/>
      <c r="G15" s="93" t="s">
        <v>89</v>
      </c>
      <c r="H15" s="11" t="s"/>
    </row>
    <row r="16" spans="1:8">
      <c r="A16" s="9" t="s"/>
      <c r="B16" s="9" t="s"/>
      <c r="C16" s="91" t="s">
        <v>90</v>
      </c>
      <c r="D16" s="92" t="s"/>
      <c r="E16" s="91" t="s">
        <v>84</v>
      </c>
      <c r="F16" s="9" t="s"/>
      <c r="G16" s="89" t="s">
        <v>85</v>
      </c>
      <c r="H16" s="11" t="s"/>
    </row>
    <row r="17" spans="1:8">
      <c r="A17" s="9" t="s"/>
      <c r="B17" s="92" t="s">
        <v>91</v>
      </c>
      <c r="C17" s="96" t="s">
        <v>92</v>
      </c>
      <c r="D17" s="92" t="s"/>
      <c r="E17" s="91" t="s"/>
      <c r="F17" s="9" t="s"/>
      <c r="G17" s="89" t="s">
        <v>93</v>
      </c>
      <c r="H17" s="11" t="s"/>
    </row>
    <row r="18" spans="1:8">
      <c r="A18" s="9" t="s"/>
      <c r="B18" s="9" t="s"/>
      <c r="C18" s="96" t="s">
        <v>94</v>
      </c>
      <c r="D18" s="92" t="s"/>
      <c r="E18" s="91" t="s"/>
      <c r="F18" s="9" t="s"/>
      <c r="G18" s="89" t="s">
        <v>95</v>
      </c>
      <c r="H18" s="11" t="s"/>
    </row>
    <row r="19" spans="1:8">
      <c r="A19" s="9" t="s"/>
      <c r="B19" s="9" t="s"/>
      <c r="C19" s="96" t="s">
        <v>96</v>
      </c>
      <c r="D19" s="92" t="s"/>
      <c r="E19" s="91" t="s"/>
      <c r="F19" s="9" t="s"/>
      <c r="G19" s="89" t="s">
        <v>97</v>
      </c>
      <c r="H19" s="11" t="s"/>
    </row>
  </sheetData>
  <mergeCells count="25">
    <mergeCell ref="E1:F1"/>
    <mergeCell ref="E2:F2"/>
    <mergeCell ref="E3:F3"/>
    <mergeCell ref="E4:F4"/>
    <mergeCell ref="E5:F5"/>
    <mergeCell ref="A6:A9"/>
    <mergeCell ref="E6:F6"/>
    <mergeCell ref="G6:G8"/>
    <mergeCell ref="E7:F7"/>
    <mergeCell ref="E8:F8"/>
    <mergeCell ref="C9:F9"/>
    <mergeCell ref="A10:A19"/>
    <mergeCell ref="B10:B13"/>
    <mergeCell ref="E10:F10"/>
    <mergeCell ref="E11:F11"/>
    <mergeCell ref="E12:F12"/>
    <mergeCell ref="E13:F13"/>
    <mergeCell ref="B14:B16"/>
    <mergeCell ref="E14:F14"/>
    <mergeCell ref="E15:F15"/>
    <mergeCell ref="E16:F16"/>
    <mergeCell ref="B17:B19"/>
    <mergeCell ref="E17:F17"/>
    <mergeCell ref="E18:F18"/>
    <mergeCell ref="E19:F19"/>
  </mergeCells>
</worksheet>
</file>

<file path=xl/worksheets/sheet2.xml><?xml version="1.0" encoding="utf-8"?>
<worksheet xmlns="http://schemas.openxmlformats.org/spreadsheetml/2006/main">
  <sheetPr codeName="个人目标操作流程及注意事项">
    <tabColor/>
  </sheetPr>
  <dimension ref="C10"/>
  <sheetViews>
    <sheetView showGridLines="true" workbookViewId="0"/>
  </sheetViews>
  <sheetFormatPr baseColWidth="13" defaultRowHeight="18" customHeight="true"/>
  <cols>
    <col min="1" max="1" width="6.71094" customWidth="true"/>
    <col min="2" max="2" width="39.7109" customWidth="true"/>
    <col min="3" max="3" width="48.7109" customWidth="true"/>
  </cols>
  <sheetData>
    <row r="1" spans="1:3">
      <c r="A1" s="4" t="s">
        <v>1</v>
      </c>
      <c r="B1" s="4" t="s">
        <v>2</v>
      </c>
      <c r="C1" s="5" t="s">
        <v>3</v>
      </c>
    </row>
    <row r="2" spans="1:3">
      <c r="A2" s="6" t="s">
        <v>4</v>
      </c>
      <c r="B2" s="6" t="s"/>
      <c r="C2" s="7" t="s">
        <v>5</v>
      </c>
    </row>
    <row r="3" spans="1:3">
      <c r="A3" s="6" t="s">
        <v>6</v>
      </c>
      <c r="B3" s="6" t="s">
        <v>171</v>
      </c>
      <c r="C3" s="6" t="s">
        <v>172</v>
      </c>
    </row>
    <row r="4" spans="1:3">
      <c r="A4" s="6" t="s">
        <v>7</v>
      </c>
      <c r="B4" s="6" t="s">
        <v>173</v>
      </c>
      <c r="C4" s="6" t="s">
        <v>8</v>
      </c>
    </row>
    <row r="5" spans="1:3">
      <c r="A5" s="6" t="s">
        <v>9</v>
      </c>
      <c r="B5" s="6" t="s">
        <v>174</v>
      </c>
      <c r="C5" s="6" t="s">
        <v>10</v>
      </c>
    </row>
    <row r="6" spans="1:3">
      <c r="A6" s="6" t="s">
        <v>11</v>
      </c>
      <c r="B6" s="6" t="s">
        <v>12</v>
      </c>
      <c r="C6" s="6" t="s">
        <v>13</v>
      </c>
    </row>
    <row r="7" spans="1:3">
      <c r="A7" s="6" t="s">
        <v>175</v>
      </c>
      <c r="B7" s="6" t="s">
        <v>176</v>
      </c>
      <c r="C7" s="6" t="s">
        <v>14</v>
      </c>
    </row>
    <row r="8" spans="1:3">
      <c r="A8" s="6" t="s">
        <v>15</v>
      </c>
      <c r="B8" s="6" t="s">
        <v>16</v>
      </c>
      <c r="C8" s="6" t="s">
        <v>17</v>
      </c>
    </row>
    <row r="9" spans="1:3">
      <c r="A9" s="6" t="s">
        <v>18</v>
      </c>
      <c r="B9" s="6" t="s">
        <v>177</v>
      </c>
      <c r="C9" s="6" t="s">
        <v>19</v>
      </c>
    </row>
    <row r="10" spans="1:3">
      <c r="A10" s="6" t="s">
        <v>20</v>
      </c>
      <c r="B10" s="6" t="s">
        <v>21</v>
      </c>
      <c r="C10" s="7" t="s"/>
    </row>
  </sheetData>
</worksheet>
</file>

<file path=xl/worksheets/sheet3.xml><?xml version="1.0" encoding="utf-8"?>
<worksheet xmlns="http://schemas.openxmlformats.org/spreadsheetml/2006/main">
  <sheetPr codeName="2_工程师绩效表格">
    <tabColor/>
  </sheetPr>
  <dimension ref="K11"/>
  <sheetViews>
    <sheetView showGridLines="true" workbookViewId="0"/>
  </sheetViews>
  <sheetFormatPr baseColWidth="13" defaultRowHeight="18" customHeight="true"/>
  <cols>
    <col min="1" max="1" width="3.71094" customWidth="true"/>
    <col min="2" max="2" width="9.71094" customWidth="true"/>
    <col min="3" max="3" width="16.7344" customWidth="true"/>
    <col min="4" max="4" width="9.71094" customWidth="true"/>
    <col min="5" max="5" width="7.71094" customWidth="true"/>
    <col min="6" max="6" width="7.71094" customWidth="true"/>
    <col min="7" max="7" width="7.71094" customWidth="true"/>
    <col min="8" max="8" width="8.71094" customWidth="true"/>
    <col min="9" max="9" width="9.71094" customWidth="true"/>
    <col min="10" max="10" width="8.71094" customWidth="true"/>
    <col min="11" max="11" width="15.7109" customWidth="true"/>
  </cols>
  <sheetData>
    <row r="1" spans="1:11">
      <c r="A1" s="62" t="s">
        <v>23</v>
      </c>
      <c r="B1" s="18" t="s">
        <v>98</v>
      </c>
      <c r="C1" s="18" t="s">
        <v>99</v>
      </c>
      <c r="D1" s="18" t="s">
        <v>100</v>
      </c>
      <c r="E1" s="18" t="s">
        <v>101</v>
      </c>
      <c r="F1" s="18" t="s">
        <v>102</v>
      </c>
      <c r="G1" s="18" t="s">
        <v>103</v>
      </c>
      <c r="H1" s="18" t="s">
        <v>104</v>
      </c>
      <c r="I1" s="18" t="s">
        <v>72</v>
      </c>
      <c r="J1" s="18" t="s">
        <v>65</v>
      </c>
      <c r="K1" s="18" t="s">
        <v>35</v>
      </c>
    </row>
    <row r="2" spans="1:11">
      <c r="A2" s="19">
        <v>1</v>
      </c>
      <c r="B2" s="20" t="s">
        <v>36</v>
      </c>
      <c r="C2" s="20" t="s">
        <v>105</v>
      </c>
      <c r="D2" s="55">
        <f>=日常工作!K3</f>
        <v>0</v>
      </c>
      <c r="E2" s="55">
        <f>=工作质量!I3</f>
        <v>0</v>
      </c>
      <c r="F2" s="24">
        <f>=个人目标!E3</f>
        <v>0</v>
      </c>
      <c r="G2" s="55">
        <f>=部门互评!G3</f>
        <v>0</v>
      </c>
      <c r="H2" s="24">
        <f>=绩效加分!L3</f>
        <v>2</v>
      </c>
      <c r="I2" s="55">
        <f>=绩效减分!D3</f>
        <v>0</v>
      </c>
      <c r="J2" s="20">
        <f>=SUM(D2:I2)</f>
        <v>2</v>
      </c>
      <c r="K2" s="63" t="s"/>
    </row>
    <row r="3" spans="1:11">
      <c r="A3" s="19">
        <v>2</v>
      </c>
      <c r="B3" s="20" t="s">
        <v>37</v>
      </c>
      <c r="C3" s="20" t="s">
        <v>105</v>
      </c>
      <c r="D3" s="55">
        <f>=日常工作!K4</f>
        <v>0</v>
      </c>
      <c r="E3" s="55">
        <f>=工作质量!I4</f>
        <v>0</v>
      </c>
      <c r="F3" s="24">
        <f>=个人目标!E4</f>
        <v>0</v>
      </c>
      <c r="G3" s="55">
        <f>=部门互评!G4</f>
        <v>0</v>
      </c>
      <c r="H3" s="24">
        <f>=绩效加分!L4</f>
        <v>0</v>
      </c>
      <c r="I3" s="55">
        <f>=绩效减分!D4</f>
        <v>0</v>
      </c>
      <c r="J3" s="20">
        <f>=SUM(D3:I3)</f>
        <v>0</v>
      </c>
      <c r="K3" s="51" t="s"/>
    </row>
    <row r="4" spans="1:11">
      <c r="A4" s="19">
        <v>3</v>
      </c>
      <c r="B4" s="20" t="s">
        <v>38</v>
      </c>
      <c r="C4" s="20" t="s">
        <v>105</v>
      </c>
      <c r="D4" s="55">
        <f>=日常工作!K5</f>
        <v>0</v>
      </c>
      <c r="E4" s="55">
        <f>=工作质量!I5</f>
        <v>0</v>
      </c>
      <c r="F4" s="24">
        <f>=个人目标!E5</f>
        <v>0</v>
      </c>
      <c r="G4" s="55">
        <f>=部门互评!G5</f>
        <v>0</v>
      </c>
      <c r="H4" s="24">
        <f>=绩效加分!L5</f>
        <v>0</v>
      </c>
      <c r="I4" s="55">
        <f>=绩效减分!D5</f>
        <v>0</v>
      </c>
      <c r="J4" s="20">
        <f>=SUM(D4:I4)</f>
        <v>0</v>
      </c>
      <c r="K4" s="51" t="s"/>
    </row>
    <row r="5" spans="1:11">
      <c r="A5" s="19">
        <v>4</v>
      </c>
      <c r="B5" s="28" t="s">
        <v>39</v>
      </c>
      <c r="C5" s="20" t="s">
        <v>105</v>
      </c>
      <c r="D5" s="55">
        <f>=日常工作!K6</f>
        <v>0</v>
      </c>
      <c r="E5" s="55">
        <f>=工作质量!I6</f>
        <v>0</v>
      </c>
      <c r="F5" s="24">
        <f>=个人目标!E6</f>
        <v>0</v>
      </c>
      <c r="G5" s="55">
        <f>=部门互评!G6</f>
        <v>0</v>
      </c>
      <c r="H5" s="24">
        <f>=绩效加分!L6</f>
        <v>2</v>
      </c>
      <c r="I5" s="55">
        <f>=绩效减分!D6</f>
        <v>0</v>
      </c>
      <c r="J5" s="20">
        <f>=SUM(D5:I5)</f>
        <v>2</v>
      </c>
      <c r="K5" s="51" t="s"/>
    </row>
    <row r="6" spans="1:11">
      <c r="A6" s="19">
        <v>5</v>
      </c>
      <c r="B6" s="28" t="s">
        <v>40</v>
      </c>
      <c r="C6" s="20" t="s">
        <v>105</v>
      </c>
      <c r="D6" s="55">
        <f>=日常工作!K7</f>
        <v>0</v>
      </c>
      <c r="E6" s="55">
        <f>=工作质量!I7</f>
        <v>0</v>
      </c>
      <c r="F6" s="24">
        <f>=个人目标!E7</f>
        <v>0</v>
      </c>
      <c r="G6" s="55">
        <f>=部门互评!G7</f>
        <v>0</v>
      </c>
      <c r="H6" s="24">
        <f>=绩效加分!L7</f>
        <v>0</v>
      </c>
      <c r="I6" s="55">
        <f>=绩效减分!D7</f>
        <v>0</v>
      </c>
      <c r="J6" s="20">
        <f>=SUM(D6:I6)</f>
        <v>0</v>
      </c>
      <c r="K6" s="51" t="s"/>
    </row>
    <row r="7" spans="1:11">
      <c r="A7" s="19">
        <v>6</v>
      </c>
      <c r="B7" s="28" t="s">
        <v>41</v>
      </c>
      <c r="C7" s="20" t="s">
        <v>105</v>
      </c>
      <c r="D7" s="55">
        <f>=日常工作!K8</f>
        <v>0</v>
      </c>
      <c r="E7" s="55">
        <f>=工作质量!I8</f>
        <v>0</v>
      </c>
      <c r="F7" s="24">
        <f>=个人目标!E8</f>
        <v>0</v>
      </c>
      <c r="G7" s="55">
        <f>=部门互评!G8</f>
        <v>0</v>
      </c>
      <c r="H7" s="24">
        <f>=绩效加分!L8</f>
        <v>0</v>
      </c>
      <c r="I7" s="55">
        <f>=绩效减分!D8</f>
        <v>0</v>
      </c>
      <c r="J7" s="20">
        <f>=SUM(D7:I7)</f>
        <v>0</v>
      </c>
      <c r="K7" s="64" t="s"/>
    </row>
    <row r="8" spans="1:11">
      <c r="A8" s="19">
        <v>7</v>
      </c>
      <c r="B8" s="28" t="s">
        <v>42</v>
      </c>
      <c r="C8" s="20" t="s">
        <v>105</v>
      </c>
      <c r="D8" s="55">
        <f>=日常工作!K9</f>
        <v>0</v>
      </c>
      <c r="E8" s="55">
        <f>=工作质量!I9</f>
        <v>0</v>
      </c>
      <c r="F8" s="24">
        <f>=个人目标!E9</f>
        <v>0</v>
      </c>
      <c r="G8" s="55">
        <f>=部门互评!G9</f>
        <v>0</v>
      </c>
      <c r="H8" s="24">
        <f>=绩效加分!L9</f>
        <v>1</v>
      </c>
      <c r="I8" s="55">
        <f>=绩效减分!D9</f>
        <v>0</v>
      </c>
      <c r="J8" s="20">
        <f>=SUM(D8:I8)</f>
        <v>1</v>
      </c>
      <c r="K8" s="64" t="s"/>
    </row>
    <row r="9" spans="1:11">
      <c r="A9" s="29">
        <v>8</v>
      </c>
      <c r="B9" s="30" t="s">
        <v>43</v>
      </c>
      <c r="C9" s="58" t="s">
        <v>105</v>
      </c>
      <c r="D9" s="55">
        <f>=日常工作!K10</f>
        <v>0</v>
      </c>
      <c r="E9" s="55">
        <f>=工作质量!I10</f>
        <v>0</v>
      </c>
      <c r="F9" s="24">
        <f>=个人目标!E10</f>
        <v>0</v>
      </c>
      <c r="G9" s="55">
        <f>=部门互评!G10</f>
        <v>0</v>
      </c>
      <c r="H9" s="24">
        <f>=绩效加分!L10</f>
        <v>0</v>
      </c>
      <c r="I9" s="55">
        <f>=绩效减分!D10</f>
        <v>0</v>
      </c>
      <c r="J9" s="20">
        <f>=SUM(D9:I9)</f>
        <v>0</v>
      </c>
      <c r="K9" s="65" t="s"/>
    </row>
    <row r="10" spans="1:11">
      <c r="A10" s="31">
        <v>9</v>
      </c>
      <c r="B10" s="28" t="s">
        <v>44</v>
      </c>
      <c r="C10" s="20" t="s">
        <v>105</v>
      </c>
      <c r="D10" s="55">
        <f>=日常工作!K11</f>
        <v>0</v>
      </c>
      <c r="E10" s="55">
        <f>=工作质量!I11</f>
        <v>0</v>
      </c>
      <c r="F10" s="24">
        <f>=个人目标!E11</f>
        <v>0</v>
      </c>
      <c r="G10" s="55">
        <f>=部门互评!G11</f>
        <v>0</v>
      </c>
      <c r="H10" s="24">
        <f>=绩效加分!L11</f>
        <v>0</v>
      </c>
      <c r="I10" s="55">
        <f>=绩效减分!D11</f>
        <v>0</v>
      </c>
      <c r="J10" s="20">
        <f>=SUM(D10:I10)</f>
        <v>0</v>
      </c>
      <c r="K10" s="11" t="s"/>
    </row>
    <row r="11" spans="1:11">
      <c r="A11" s="31">
        <v>10</v>
      </c>
      <c r="B11" s="28" t="s">
        <v>45</v>
      </c>
      <c r="C11" s="20" t="s">
        <v>105</v>
      </c>
      <c r="D11" s="55">
        <f>=日常工作!K12</f>
        <v>0</v>
      </c>
      <c r="E11" s="55">
        <f>=工作质量!I12</f>
        <v>0</v>
      </c>
      <c r="F11" s="24">
        <f>=个人目标!E12</f>
        <v>0</v>
      </c>
      <c r="G11" s="55">
        <f>=部门互评!G12</f>
        <v>0</v>
      </c>
      <c r="H11" s="24">
        <f>=绩效加分!L12</f>
        <v>0</v>
      </c>
      <c r="I11" s="55">
        <f>=绩效减分!D12</f>
        <v>0</v>
      </c>
      <c r="J11" s="20">
        <f>=SUM(D11:I11)</f>
        <v>0</v>
      </c>
      <c r="K11" s="11" t="s"/>
    </row>
  </sheetData>
  <autoFilter ref="A1:K11">
    <sortState ref="A2:K11">
      <sortCondition descending="false" ref="A1:A11"/>
    </sortState>
  </autoFilter>
</worksheet>
</file>

<file path=xl/worksheets/sheet4.xml><?xml version="1.0" encoding="utf-8"?>
<worksheet xmlns="http://schemas.openxmlformats.org/spreadsheetml/2006/main">
  <sheetPr codeName="日常工作">
    <tabColor/>
  </sheetPr>
  <dimension ref="L26"/>
  <sheetViews>
    <sheetView showGridLines="true" workbookViewId="0"/>
  </sheetViews>
  <sheetFormatPr baseColWidth="13" defaultRowHeight="18" customHeight="true"/>
  <cols>
    <col min="1" max="1" width="4.71094" customWidth="true"/>
    <col min="2" max="2" width="6.71094" customWidth="true"/>
    <col min="3" max="3" width="10.7109" customWidth="true"/>
    <col min="4" max="4" width="9.71094" customWidth="true"/>
    <col min="5" max="5" width="10.7109" customWidth="true"/>
    <col min="6" max="6" width="9.71094" customWidth="true"/>
    <col min="7" max="8" width="6.71094" customWidth="true"/>
    <col min="9" max="9" width="9.71094" customWidth="true"/>
    <col min="10" max="10" width="7.71094" customWidth="true"/>
    <col min="11" max="11" width="10.7109" customWidth="true"/>
    <col min="12" max="12" width="15.7109" customWidth="true"/>
  </cols>
  <sheetData>
    <row r="1" spans="1:1">
      <c r="A1" s="97" t="s">
        <v>147</v>
      </c>
    </row>
    <row r="2" spans="1:12">
      <c r="A2" s="98" t="s">
        <v>23</v>
      </c>
      <c r="B2" s="99" t="s">
        <v>98</v>
      </c>
      <c r="C2" s="99" t="s">
        <v>148</v>
      </c>
      <c r="D2" s="99" t="s">
        <v>149</v>
      </c>
      <c r="E2" s="99" t="s">
        <v>150</v>
      </c>
      <c r="F2" s="99" t="s">
        <v>151</v>
      </c>
      <c r="G2" s="99" t="s">
        <v>152</v>
      </c>
      <c r="H2" s="99" t="s">
        <v>153</v>
      </c>
      <c r="I2" s="99" t="s">
        <v>154</v>
      </c>
      <c r="J2" s="53" t="s">
        <v>155</v>
      </c>
      <c r="K2" s="53" t="s">
        <v>156</v>
      </c>
      <c r="L2" s="100" t="s">
        <v>35</v>
      </c>
    </row>
    <row r="3" spans="1:12">
      <c r="A3" s="19">
        <v>1</v>
      </c>
      <c r="B3" s="41" t="s">
        <v>36</v>
      </c>
      <c r="C3" s="51" t="s"/>
      <c r="D3" s="51" t="s"/>
      <c r="E3" s="51" t="s"/>
      <c r="F3" s="51" t="s"/>
      <c r="G3" s="51" t="s"/>
      <c r="H3" s="51" t="s"/>
      <c r="I3" s="55" t="s"/>
      <c r="J3" s="55" t="s"/>
      <c r="K3" s="51" t="s"/>
      <c r="L3" s="63" t="s"/>
    </row>
    <row r="4" spans="1:12">
      <c r="A4" s="19">
        <v>2</v>
      </c>
      <c r="B4" s="41" t="s">
        <v>37</v>
      </c>
      <c r="C4" s="51" t="s"/>
      <c r="D4" s="51" t="s"/>
      <c r="E4" s="51" t="s"/>
      <c r="F4" s="51" t="s"/>
      <c r="G4" s="51" t="s"/>
      <c r="H4" s="51" t="s"/>
      <c r="I4" s="55" t="s"/>
      <c r="J4" s="55" t="s"/>
      <c r="K4" s="51" t="s"/>
      <c r="L4" s="63" t="s"/>
    </row>
    <row r="5" spans="1:12">
      <c r="A5" s="19">
        <v>3</v>
      </c>
      <c r="B5" s="47" t="s">
        <v>38</v>
      </c>
      <c r="C5" s="51" t="s"/>
      <c r="D5" s="51" t="s"/>
      <c r="E5" s="51" t="s"/>
      <c r="F5" s="51" t="s"/>
      <c r="G5" s="51" t="s"/>
      <c r="H5" s="51" t="s"/>
      <c r="I5" s="55" t="s"/>
      <c r="J5" s="55" t="s"/>
      <c r="K5" s="51" t="s"/>
      <c r="L5" s="63" t="s"/>
    </row>
    <row r="6" spans="1:12">
      <c r="A6" s="19">
        <v>4</v>
      </c>
      <c r="B6" s="39" t="s">
        <v>39</v>
      </c>
      <c r="C6" s="51" t="s"/>
      <c r="D6" s="51" t="s"/>
      <c r="E6" s="51" t="s"/>
      <c r="F6" s="51" t="s"/>
      <c r="G6" s="51" t="s"/>
      <c r="H6" s="51" t="s"/>
      <c r="I6" s="55" t="s"/>
      <c r="J6" s="55" t="s"/>
      <c r="K6" s="51" t="s"/>
      <c r="L6" s="63" t="s"/>
    </row>
    <row r="7" spans="1:12">
      <c r="A7" s="19">
        <v>5</v>
      </c>
      <c r="B7" s="41" t="s">
        <v>40</v>
      </c>
      <c r="C7" s="51" t="s"/>
      <c r="D7" s="51" t="s"/>
      <c r="E7" s="51" t="s"/>
      <c r="F7" s="51" t="s"/>
      <c r="G7" s="51" t="s"/>
      <c r="H7" s="51" t="s"/>
      <c r="I7" s="55" t="s"/>
      <c r="J7" s="55" t="s"/>
      <c r="K7" s="51" t="s"/>
      <c r="L7" s="63" t="s"/>
    </row>
    <row r="8" spans="1:12">
      <c r="A8" s="19">
        <v>6</v>
      </c>
      <c r="B8" s="41" t="s">
        <v>41</v>
      </c>
      <c r="C8" s="51" t="s"/>
      <c r="D8" s="51" t="s"/>
      <c r="E8" s="51" t="s"/>
      <c r="F8" s="51" t="s"/>
      <c r="G8" s="51" t="s"/>
      <c r="H8" s="51" t="s"/>
      <c r="I8" s="55" t="s"/>
      <c r="J8" s="55" t="s"/>
      <c r="K8" s="51" t="s"/>
      <c r="L8" s="101" t="s"/>
    </row>
    <row r="9" spans="1:12">
      <c r="A9" s="19">
        <v>7</v>
      </c>
      <c r="B9" s="47" t="s">
        <v>42</v>
      </c>
      <c r="C9" s="51" t="s"/>
      <c r="D9" s="51" t="s"/>
      <c r="E9" s="51" t="s"/>
      <c r="F9" s="51" t="s"/>
      <c r="G9" s="51" t="s"/>
      <c r="H9" s="51" t="s"/>
      <c r="I9" s="55" t="s"/>
      <c r="J9" s="55" t="s"/>
      <c r="K9" s="51" t="s"/>
      <c r="L9" s="63" t="s"/>
    </row>
    <row r="10" spans="1:12">
      <c r="A10" s="29">
        <v>8</v>
      </c>
      <c r="B10" s="47" t="s">
        <v>43</v>
      </c>
      <c r="C10" s="57" t="s"/>
      <c r="D10" s="57" t="s"/>
      <c r="E10" s="57" t="s"/>
      <c r="F10" s="57" t="s"/>
      <c r="G10" s="57" t="s"/>
      <c r="H10" s="57" t="s"/>
      <c r="I10" s="55" t="s"/>
      <c r="J10" s="55" t="s"/>
      <c r="K10" s="57" t="s"/>
      <c r="L10" s="102" t="s"/>
    </row>
    <row r="11" spans="1:12">
      <c r="A11" s="31">
        <v>9</v>
      </c>
      <c r="B11" s="41" t="s">
        <v>44</v>
      </c>
      <c r="C11" s="51" t="s"/>
      <c r="D11" s="51" t="s"/>
      <c r="E11" s="51" t="s"/>
      <c r="F11" s="51" t="s"/>
      <c r="G11" s="51" t="s"/>
      <c r="H11" s="51" t="s"/>
      <c r="I11" s="55" t="s"/>
      <c r="J11" s="55" t="s"/>
      <c r="K11" s="51" t="s"/>
      <c r="L11" s="101" t="s"/>
    </row>
    <row r="12" spans="1:12">
      <c r="A12" s="31">
        <v>10</v>
      </c>
      <c r="B12" s="41" t="s">
        <v>45</v>
      </c>
      <c r="C12" s="51" t="s"/>
      <c r="D12" s="51" t="s"/>
      <c r="E12" s="51" t="s"/>
      <c r="F12" s="51" t="s"/>
      <c r="G12" s="65" t="s"/>
      <c r="H12" s="65" t="s"/>
      <c r="I12" s="55" t="s"/>
      <c r="J12" s="55" t="s"/>
      <c r="K12" s="65" t="s"/>
      <c r="L12" s="101" t="s"/>
    </row>
    <row r="13" spans="1:12">
      <c r="A13" s="61" t="s"/>
      <c r="B13" s="103" t="s"/>
      <c r="C13" s="11" t="s"/>
      <c r="D13" s="11" t="s"/>
      <c r="E13" s="11" t="s"/>
      <c r="F13" s="11" t="s"/>
      <c r="G13" s="11" t="s"/>
      <c r="H13" s="11" t="s"/>
      <c r="I13" s="11" t="s"/>
      <c r="J13" s="11" t="s"/>
      <c r="K13" s="104" t="s"/>
      <c r="L13" s="105" t="s"/>
    </row>
    <row r="14" spans="1:12">
      <c r="A14" s="61" t="s"/>
      <c r="B14" s="103" t="s">
        <v>157</v>
      </c>
      <c r="C14" s="11" t="s"/>
      <c r="D14" s="11" t="s"/>
      <c r="E14" s="11" t="s"/>
      <c r="F14" s="11" t="s"/>
      <c r="G14" s="11" t="s"/>
      <c r="H14" s="11" t="s"/>
      <c r="I14" s="11" t="s"/>
      <c r="J14" s="106" t="s"/>
      <c r="K14" s="107" t="s"/>
      <c r="L14" s="105" t="s"/>
    </row>
    <row r="15" spans="1:12">
      <c r="A15" s="61" t="s"/>
      <c r="B15" s="108" t="s"/>
      <c r="C15" s="106" t="s"/>
      <c r="D15" s="106" t="s"/>
      <c r="E15" s="106" t="s"/>
      <c r="F15" s="106" t="s"/>
      <c r="G15" s="106" t="s"/>
      <c r="H15" s="106" t="s"/>
      <c r="I15" s="106" t="s"/>
      <c r="J15" s="106" t="s"/>
      <c r="K15" s="107" t="s"/>
      <c r="L15" s="105" t="s"/>
    </row>
    <row r="16" spans="1:12">
      <c r="A16" s="61" t="s"/>
      <c r="B16" s="109" t="s"/>
      <c r="C16" s="110" t="s"/>
      <c r="D16" s="110" t="s"/>
      <c r="E16" s="110" t="s"/>
      <c r="F16" s="110" t="s"/>
      <c r="G16" s="110" t="s"/>
      <c r="H16" s="110" t="s"/>
      <c r="I16" s="110" t="s"/>
      <c r="J16" s="111" t="s"/>
      <c r="K16" s="107" t="s"/>
      <c r="L16" s="105" t="s"/>
    </row>
    <row r="17" spans="1:12">
      <c r="A17" s="61" t="s"/>
      <c r="B17" s="109" t="s"/>
      <c r="C17" s="110" t="s"/>
      <c r="D17" s="110" t="s"/>
      <c r="E17" s="110" t="s"/>
      <c r="F17" s="110" t="s"/>
      <c r="G17" s="110" t="s"/>
      <c r="H17" s="110" t="s"/>
      <c r="I17" s="110" t="s"/>
      <c r="J17" s="111" t="s"/>
      <c r="K17" s="107" t="s"/>
      <c r="L17" s="105" t="s"/>
    </row>
    <row r="18" spans="1:12">
      <c r="A18" s="61" t="s"/>
      <c r="B18" s="109" t="s"/>
      <c r="C18" s="110" t="s"/>
      <c r="D18" s="110" t="s"/>
      <c r="E18" s="110" t="s"/>
      <c r="F18" s="110" t="s"/>
      <c r="G18" s="110" t="s"/>
      <c r="H18" s="110" t="s"/>
      <c r="I18" s="110" t="s"/>
      <c r="J18" s="111" t="s"/>
      <c r="K18" s="107" t="s"/>
      <c r="L18" s="105" t="s"/>
    </row>
    <row r="19" spans="1:12">
      <c r="A19" s="61" t="s"/>
      <c r="B19" s="109" t="s"/>
      <c r="C19" s="110" t="s"/>
      <c r="D19" s="110" t="s"/>
      <c r="E19" s="110" t="s"/>
      <c r="F19" s="110" t="s"/>
      <c r="G19" s="110" t="s"/>
      <c r="H19" s="110" t="s"/>
      <c r="I19" s="110" t="s"/>
      <c r="J19" s="111" t="s"/>
      <c r="K19" s="107" t="s"/>
      <c r="L19" s="105" t="s"/>
    </row>
    <row r="20" spans="1:12">
      <c r="A20" s="61" t="s"/>
      <c r="B20" s="109" t="s"/>
      <c r="C20" s="110" t="s"/>
      <c r="D20" s="110" t="s"/>
      <c r="E20" s="110" t="s"/>
      <c r="F20" s="110" t="s"/>
      <c r="G20" s="110" t="s"/>
      <c r="H20" s="110" t="s"/>
      <c r="I20" s="110" t="s"/>
      <c r="J20" s="111" t="s"/>
      <c r="K20" s="107" t="s"/>
      <c r="L20" s="105" t="s"/>
    </row>
    <row r="21" spans="1:12">
      <c r="A21" s="61" t="s"/>
      <c r="B21" s="109" t="s"/>
      <c r="C21" s="110" t="s"/>
      <c r="D21" s="110" t="s"/>
      <c r="E21" s="110" t="s"/>
      <c r="F21" s="110" t="s"/>
      <c r="G21" s="110" t="s"/>
      <c r="H21" s="110" t="s"/>
      <c r="I21" s="110" t="s"/>
      <c r="J21" s="111" t="s"/>
      <c r="K21" s="107" t="s"/>
      <c r="L21" s="105" t="s"/>
    </row>
    <row r="22" spans="1:12">
      <c r="A22" s="61" t="s"/>
      <c r="B22" s="109" t="s"/>
      <c r="C22" s="110" t="s"/>
      <c r="D22" s="110" t="s"/>
      <c r="E22" s="110" t="s"/>
      <c r="F22" s="110" t="s"/>
      <c r="G22" s="110" t="s"/>
      <c r="H22" s="110" t="s"/>
      <c r="I22" s="110" t="s"/>
      <c r="J22" s="111" t="s"/>
      <c r="K22" s="61" t="s"/>
      <c r="L22" s="105" t="s"/>
    </row>
    <row r="23" spans="1:12">
      <c r="A23" s="61" t="s"/>
      <c r="B23" s="109" t="s"/>
      <c r="C23" s="110" t="s"/>
      <c r="D23" s="110" t="s"/>
      <c r="E23" s="110" t="s"/>
      <c r="F23" s="110" t="s"/>
      <c r="G23" s="110" t="s"/>
      <c r="H23" s="110" t="s"/>
      <c r="I23" s="110" t="s"/>
      <c r="J23" s="111" t="s"/>
      <c r="K23" s="61" t="s"/>
      <c r="L23" s="105" t="s"/>
    </row>
    <row r="24" spans="1:12">
      <c r="A24" s="61" t="s"/>
      <c r="B24" s="109" t="s"/>
      <c r="C24" s="110" t="s"/>
      <c r="D24" s="110" t="s"/>
      <c r="E24" s="110" t="s"/>
      <c r="F24" s="110" t="s"/>
      <c r="G24" s="110" t="s"/>
      <c r="H24" s="110" t="s"/>
      <c r="I24" s="110" t="s"/>
      <c r="J24" s="111" t="s"/>
      <c r="K24" s="61" t="s"/>
      <c r="L24" s="105" t="s"/>
    </row>
    <row r="25" spans="1:12">
      <c r="A25" s="61" t="s"/>
      <c r="B25" s="109" t="s"/>
      <c r="C25" s="110" t="s"/>
      <c r="D25" s="110" t="s"/>
      <c r="E25" s="110" t="s"/>
      <c r="F25" s="110" t="s"/>
      <c r="G25" s="110" t="s"/>
      <c r="H25" s="110" t="s"/>
      <c r="I25" s="110" t="s"/>
      <c r="J25" s="111" t="s"/>
      <c r="K25" s="61" t="s"/>
      <c r="L25" s="105" t="s"/>
    </row>
    <row r="26" spans="1:12">
      <c r="A26" s="61" t="s"/>
      <c r="B26" s="112" t="s"/>
      <c r="C26" s="113" t="s"/>
      <c r="D26" s="113" t="s"/>
      <c r="E26" s="113" t="s"/>
      <c r="F26" s="113" t="s"/>
      <c r="G26" s="113" t="s"/>
      <c r="H26" s="113" t="s"/>
      <c r="I26" s="113" t="s"/>
      <c r="J26" s="114" t="s"/>
      <c r="K26" s="61" t="s"/>
      <c r="L26" s="105" t="s"/>
    </row>
  </sheetData>
  <mergeCells count="1">
    <mergeCell ref="A1:L1"/>
  </mergeCells>
</worksheet>
</file>

<file path=xl/worksheets/sheet5.xml><?xml version="1.0" encoding="utf-8"?>
<worksheet xmlns="http://schemas.openxmlformats.org/spreadsheetml/2006/main">
  <sheetPr codeName="个人目标">
    <tabColor/>
  </sheetPr>
  <dimension ref="F12"/>
  <sheetViews>
    <sheetView showGridLines="true" workbookViewId="0"/>
  </sheetViews>
  <sheetFormatPr baseColWidth="13" defaultRowHeight="18" customHeight="true"/>
  <cols>
    <col min="1" max="1" width="6.71094" customWidth="true"/>
    <col min="2" max="2" width="13.7109" customWidth="true"/>
    <col min="3" max="3" width="13.7109" customWidth="true"/>
    <col min="4" max="4" width="16.7109" customWidth="true"/>
    <col min="5" max="5" width="12.7109" customWidth="true"/>
    <col min="6" max="6" width="20.7109" customWidth="true"/>
  </cols>
  <sheetData>
    <row r="1" spans="1:6">
      <c r="A1" s="8" t="s">
        <v>67</v>
      </c>
      <c r="B1" s="9" t="s"/>
      <c r="C1" s="9" t="s"/>
      <c r="D1" s="9" t="s"/>
      <c r="E1" s="9" t="s"/>
      <c r="F1" s="9" t="s"/>
    </row>
    <row r="2" spans="1:6">
      <c r="A2" s="53" t="s">
        <v>23</v>
      </c>
      <c r="B2" s="54" t="s">
        <v>61</v>
      </c>
      <c r="C2" s="18" t="s">
        <v>68</v>
      </c>
      <c r="D2" s="18" t="s">
        <v>69</v>
      </c>
      <c r="E2" s="18" t="s">
        <v>65</v>
      </c>
      <c r="F2" s="49" t="s">
        <v>35</v>
      </c>
    </row>
    <row r="3" spans="1:6">
      <c r="A3" s="31">
        <v>1</v>
      </c>
      <c r="B3" s="20" t="s">
        <v>36</v>
      </c>
      <c r="C3" s="20" t="s"/>
      <c r="D3" s="20" t="s"/>
      <c r="E3" s="55" t="s"/>
      <c r="F3" s="27" t="s"/>
    </row>
    <row r="4" spans="1:6">
      <c r="A4" s="31">
        <v>2</v>
      </c>
      <c r="B4" s="20" t="s">
        <v>37</v>
      </c>
      <c r="C4" s="20" t="s"/>
      <c r="D4" s="20" t="s"/>
      <c r="E4" s="55" t="s"/>
      <c r="F4" s="27" t="s"/>
    </row>
    <row r="5" spans="1:6">
      <c r="A5" s="31">
        <v>3</v>
      </c>
      <c r="B5" s="20" t="s">
        <v>38</v>
      </c>
      <c r="C5" s="20" t="s"/>
      <c r="D5" s="20" t="s"/>
      <c r="E5" s="55" t="s"/>
      <c r="F5" s="27" t="s"/>
    </row>
    <row r="6" spans="1:6">
      <c r="A6" s="31">
        <v>4</v>
      </c>
      <c r="B6" s="28" t="s">
        <v>39</v>
      </c>
      <c r="C6" s="20" t="s"/>
      <c r="D6" s="20" t="s"/>
      <c r="E6" s="55" t="s"/>
      <c r="F6" s="27" t="s"/>
    </row>
    <row r="7" spans="1:6">
      <c r="A7" s="31">
        <v>5</v>
      </c>
      <c r="B7" s="28" t="s">
        <v>40</v>
      </c>
      <c r="C7" s="20" t="s"/>
      <c r="D7" s="20" t="s"/>
      <c r="E7" s="55" t="s"/>
      <c r="F7" s="27" t="s"/>
    </row>
    <row r="8" spans="1:6">
      <c r="A8" s="31">
        <v>6</v>
      </c>
      <c r="B8" s="28" t="s">
        <v>41</v>
      </c>
      <c r="C8" s="20" t="s"/>
      <c r="D8" s="20" t="s"/>
      <c r="E8" s="55" t="s"/>
      <c r="F8" s="27" t="s"/>
    </row>
    <row r="9" spans="1:6">
      <c r="A9" s="31">
        <v>7</v>
      </c>
      <c r="B9" s="28" t="s">
        <v>42</v>
      </c>
      <c r="C9" s="20" t="s"/>
      <c r="D9" s="20" t="s"/>
      <c r="E9" s="55" t="s"/>
      <c r="F9" s="27" t="s"/>
    </row>
    <row r="10" spans="1:6">
      <c r="A10" s="29">
        <v>8</v>
      </c>
      <c r="B10" s="30" t="s">
        <v>43</v>
      </c>
      <c r="C10" s="20" t="s"/>
      <c r="D10" s="20" t="s"/>
      <c r="E10" s="55" t="s"/>
      <c r="F10" s="27" t="s"/>
    </row>
    <row r="11" spans="1:6">
      <c r="A11" s="31">
        <v>9</v>
      </c>
      <c r="B11" s="28" t="s">
        <v>44</v>
      </c>
      <c r="C11" s="20" t="s"/>
      <c r="D11" s="20" t="s"/>
      <c r="E11" s="55" t="s"/>
      <c r="F11" s="27" t="s"/>
    </row>
    <row r="12" spans="1:6">
      <c r="A12" s="31">
        <v>10</v>
      </c>
      <c r="B12" s="28" t="s">
        <v>45</v>
      </c>
      <c r="C12" s="20" t="s"/>
      <c r="D12" s="20" t="s"/>
      <c r="E12" s="55" t="s"/>
      <c r="F12" s="27" t="s"/>
    </row>
  </sheetData>
  <mergeCells count="1">
    <mergeCell ref="A1:F1"/>
  </mergeCells>
</worksheet>
</file>

<file path=xl/worksheets/sheet6.xml><?xml version="1.0" encoding="utf-8"?>
<worksheet xmlns="http://schemas.openxmlformats.org/spreadsheetml/2006/main">
  <sheetPr codeName="工作质量">
    <tabColor/>
  </sheetPr>
  <dimension ref="M26"/>
  <sheetViews>
    <sheetView showGridLines="true" workbookViewId="0"/>
  </sheetViews>
  <sheetFormatPr baseColWidth="13" defaultRowHeight="18" customHeight="true"/>
  <cols>
    <col min="1" max="1" width="5.71094" customWidth="true"/>
    <col min="2" max="2" width="8.71094" customWidth="true"/>
    <col min="3" max="3" width="8.71094" customWidth="true"/>
    <col min="4" max="4" width="7.71094" customWidth="true"/>
    <col min="5" max="5" width="8.71094" customWidth="true"/>
    <col min="6" max="6" width="7.71094" customWidth="true"/>
    <col min="7" max="7" width="5.71094" customWidth="true"/>
    <col min="8" max="8" width="7.71094" customWidth="true"/>
    <col min="9" max="9" width="9.71094" customWidth="true"/>
    <col min="10" max="10" width="12.7109" customWidth="true"/>
    <col min="11" max="11" width="12.7109" customWidth="true"/>
    <col min="12" max="13" width="6.71094" customWidth="true"/>
  </cols>
  <sheetData>
    <row r="1" spans="1:13">
      <c r="A1" s="8" t="s">
        <v>158</v>
      </c>
      <c r="B1" s="9" t="s"/>
      <c r="C1" s="9" t="s"/>
      <c r="D1" s="9" t="s"/>
      <c r="E1" s="9" t="s"/>
      <c r="F1" s="9" t="s"/>
      <c r="G1" s="9" t="s"/>
      <c r="H1" s="9" t="s"/>
      <c r="I1" s="9" t="s"/>
      <c r="J1" s="11" t="s"/>
      <c r="K1" s="11" t="s"/>
      <c r="L1" s="11" t="s"/>
      <c r="M1" s="11" t="s"/>
    </row>
    <row r="2" spans="1:13">
      <c r="A2" s="62" t="s">
        <v>23</v>
      </c>
      <c r="B2" s="18" t="s">
        <v>61</v>
      </c>
      <c r="C2" s="18" t="s">
        <v>159</v>
      </c>
      <c r="D2" s="18" t="s">
        <v>160</v>
      </c>
      <c r="E2" s="18" t="s">
        <v>161</v>
      </c>
      <c r="F2" s="18" t="s">
        <v>162</v>
      </c>
      <c r="G2" s="18" t="s">
        <v>163</v>
      </c>
      <c r="H2" s="18" t="s">
        <v>164</v>
      </c>
      <c r="I2" s="18" t="s">
        <v>65</v>
      </c>
      <c r="J2" s="11" t="s"/>
      <c r="K2" s="11" t="s"/>
      <c r="L2" s="11" t="s"/>
      <c r="M2" s="11" t="s"/>
    </row>
    <row r="3" spans="1:13">
      <c r="A3" s="19">
        <v>1</v>
      </c>
      <c r="B3" s="41" t="s">
        <v>36</v>
      </c>
      <c r="C3" s="55">
        <f>=C17</f>
        <v>0</v>
      </c>
      <c r="D3" s="55">
        <f>=E17</f>
        <v>0</v>
      </c>
      <c r="E3" s="20">
        <f>=K17</f>
        <v>0</v>
      </c>
      <c r="F3" s="20">
        <f>=G17</f>
        <v>0</v>
      </c>
      <c r="G3" s="55">
        <f>=J17</f>
        <v>0</v>
      </c>
      <c r="H3" s="20">
        <f>=I17</f>
        <v>0</v>
      </c>
      <c r="I3" s="23">
        <f>=SUM(C3:H3)</f>
        <v>0</v>
      </c>
      <c r="J3" s="11" t="s"/>
      <c r="K3" s="11" t="s"/>
      <c r="L3" s="11" t="s"/>
      <c r="M3" s="11" t="s"/>
    </row>
    <row r="4" spans="1:13">
      <c r="A4" s="19">
        <v>2</v>
      </c>
      <c r="B4" s="41" t="s">
        <v>37</v>
      </c>
      <c r="C4" s="55">
        <f>=C18</f>
        <v>0</v>
      </c>
      <c r="D4" s="55">
        <f>=E18</f>
        <v>0</v>
      </c>
      <c r="E4" s="20">
        <f>=K18</f>
        <v>0</v>
      </c>
      <c r="F4" s="20">
        <f>=G18</f>
        <v>0</v>
      </c>
      <c r="G4" s="55">
        <f>=J18</f>
        <v>0</v>
      </c>
      <c r="H4" s="20">
        <f>=I18</f>
        <v>0</v>
      </c>
      <c r="I4" s="23">
        <f>=SUM(C4:H4)</f>
        <v>0</v>
      </c>
      <c r="J4" s="11" t="s"/>
      <c r="K4" s="11" t="s"/>
      <c r="L4" s="11" t="s"/>
      <c r="M4" s="11" t="s"/>
    </row>
    <row r="5" spans="1:13">
      <c r="A5" s="19">
        <v>3</v>
      </c>
      <c r="B5" s="47" t="s">
        <v>38</v>
      </c>
      <c r="C5" s="55">
        <f>=C19</f>
        <v>0</v>
      </c>
      <c r="D5" s="55">
        <f>=E19</f>
        <v>0</v>
      </c>
      <c r="E5" s="20">
        <f>=K19</f>
        <v>0</v>
      </c>
      <c r="F5" s="20">
        <f>=G19</f>
        <v>0</v>
      </c>
      <c r="G5" s="55">
        <f>=J19</f>
        <v>0</v>
      </c>
      <c r="H5" s="20">
        <f>=I19</f>
        <v>0</v>
      </c>
      <c r="I5" s="23">
        <f>=SUM(C5:H5)</f>
        <v>0</v>
      </c>
      <c r="J5" s="11" t="s"/>
      <c r="K5" s="11" t="s"/>
      <c r="L5" s="11" t="s"/>
      <c r="M5" s="11" t="s"/>
    </row>
    <row r="6" spans="1:13">
      <c r="A6" s="19">
        <v>4</v>
      </c>
      <c r="B6" s="39" t="s">
        <v>39</v>
      </c>
      <c r="C6" s="55">
        <f>=C20</f>
        <v>0</v>
      </c>
      <c r="D6" s="55">
        <f>=E20</f>
        <v>0</v>
      </c>
      <c r="E6" s="20">
        <f>=K20</f>
        <v>0</v>
      </c>
      <c r="F6" s="20">
        <f>=G20</f>
        <v>0</v>
      </c>
      <c r="G6" s="55">
        <f>=J20</f>
        <v>0</v>
      </c>
      <c r="H6" s="20">
        <f>=I20</f>
        <v>0</v>
      </c>
      <c r="I6" s="23">
        <f>=SUM(C6:H6)</f>
        <v>0</v>
      </c>
      <c r="J6" s="11" t="s"/>
      <c r="K6" s="11" t="s"/>
      <c r="L6" s="11" t="s"/>
      <c r="M6" s="11" t="s"/>
    </row>
    <row r="7" spans="1:13">
      <c r="A7" s="19">
        <v>5</v>
      </c>
      <c r="B7" s="41" t="s">
        <v>40</v>
      </c>
      <c r="C7" s="55">
        <f>=C21</f>
        <v>0</v>
      </c>
      <c r="D7" s="55">
        <f>=E21</f>
        <v>0</v>
      </c>
      <c r="E7" s="20">
        <f>=K21</f>
        <v>0</v>
      </c>
      <c r="F7" s="20">
        <f>=G21</f>
        <v>0</v>
      </c>
      <c r="G7" s="55">
        <f>=J21</f>
        <v>0</v>
      </c>
      <c r="H7" s="20">
        <f>=I21</f>
        <v>0</v>
      </c>
      <c r="I7" s="23">
        <f>=SUM(C7:H7)</f>
        <v>0</v>
      </c>
      <c r="J7" s="11" t="s"/>
      <c r="K7" s="11" t="s"/>
      <c r="L7" s="11" t="s"/>
      <c r="M7" s="11" t="s"/>
    </row>
    <row r="8" spans="1:13">
      <c r="A8" s="19">
        <v>6</v>
      </c>
      <c r="B8" s="41" t="s">
        <v>41</v>
      </c>
      <c r="C8" s="55">
        <f>=C22</f>
        <v>0</v>
      </c>
      <c r="D8" s="55">
        <f>=E22</f>
        <v>0</v>
      </c>
      <c r="E8" s="20">
        <f>=K22</f>
        <v>0</v>
      </c>
      <c r="F8" s="20">
        <f>=G22</f>
        <v>0</v>
      </c>
      <c r="G8" s="55">
        <f>=J22</f>
        <v>0</v>
      </c>
      <c r="H8" s="20">
        <f>=I22</f>
        <v>0</v>
      </c>
      <c r="I8" s="23">
        <f>=SUM(C8:H8)</f>
        <v>0</v>
      </c>
      <c r="J8" s="11" t="s"/>
      <c r="K8" s="11" t="s"/>
      <c r="L8" s="11" t="s"/>
      <c r="M8" s="11" t="s"/>
    </row>
    <row r="9" spans="1:13">
      <c r="A9" s="19">
        <v>7</v>
      </c>
      <c r="B9" s="47" t="s">
        <v>42</v>
      </c>
      <c r="C9" s="55">
        <f>=C23</f>
        <v>0</v>
      </c>
      <c r="D9" s="55">
        <f>=E23</f>
        <v>0</v>
      </c>
      <c r="E9" s="20">
        <f>=K23</f>
        <v>0</v>
      </c>
      <c r="F9" s="20">
        <f>=G23</f>
        <v>0</v>
      </c>
      <c r="G9" s="55">
        <f>=J23</f>
        <v>0</v>
      </c>
      <c r="H9" s="20">
        <f>=I23</f>
        <v>0</v>
      </c>
      <c r="I9" s="23">
        <f>=SUM(C9:H9)</f>
        <v>0</v>
      </c>
      <c r="J9" s="11" t="s"/>
      <c r="K9" s="11" t="s"/>
      <c r="L9" s="11" t="s"/>
      <c r="M9" s="11" t="s"/>
    </row>
    <row r="10" spans="1:13">
      <c r="A10" s="19">
        <v>8</v>
      </c>
      <c r="B10" s="41" t="s">
        <v>43</v>
      </c>
      <c r="C10" s="55">
        <f>=C24</f>
        <v>0</v>
      </c>
      <c r="D10" s="55">
        <f>=E24</f>
        <v>0</v>
      </c>
      <c r="E10" s="20">
        <f>=K24</f>
        <v>0</v>
      </c>
      <c r="F10" s="20">
        <f>=G24</f>
        <v>0</v>
      </c>
      <c r="G10" s="55">
        <f>=J24</f>
        <v>0</v>
      </c>
      <c r="H10" s="20">
        <f>=I24</f>
        <v>0</v>
      </c>
      <c r="I10" s="23">
        <f>=SUM(C10:H10)</f>
        <v>0</v>
      </c>
      <c r="J10" s="11" t="s"/>
      <c r="K10" s="11" t="s"/>
      <c r="L10" s="11" t="s"/>
      <c r="M10" s="11" t="s"/>
    </row>
    <row r="11" spans="1:13">
      <c r="A11" s="29">
        <v>9</v>
      </c>
      <c r="B11" s="47" t="s">
        <v>44</v>
      </c>
      <c r="C11" s="55">
        <f>=C25</f>
        <v>0</v>
      </c>
      <c r="D11" s="55">
        <f>=E25</f>
        <v>0</v>
      </c>
      <c r="E11" s="20">
        <f>=K25</f>
        <v>0</v>
      </c>
      <c r="F11" s="20">
        <f>=G25</f>
        <v>0</v>
      </c>
      <c r="G11" s="55">
        <f>=J25</f>
        <v>0</v>
      </c>
      <c r="H11" s="20">
        <f>=I25</f>
        <v>0</v>
      </c>
      <c r="I11" s="23">
        <f>=SUM(C11:H11)</f>
        <v>0</v>
      </c>
      <c r="J11" s="11" t="s"/>
      <c r="K11" s="11" t="s"/>
      <c r="L11" s="11" t="s"/>
      <c r="M11" s="11" t="s"/>
    </row>
    <row r="12" spans="1:13">
      <c r="A12" s="31">
        <v>10</v>
      </c>
      <c r="B12" s="41" t="s">
        <v>45</v>
      </c>
      <c r="C12" s="55">
        <f>=C26</f>
        <v>0</v>
      </c>
      <c r="D12" s="55">
        <f>=E26</f>
        <v>0</v>
      </c>
      <c r="E12" s="20">
        <f>=K26</f>
        <v>0</v>
      </c>
      <c r="F12" s="20">
        <f>=G26</f>
        <v>0</v>
      </c>
      <c r="G12" s="55">
        <f>=J26</f>
        <v>0</v>
      </c>
      <c r="H12" s="20">
        <f>=I26</f>
        <v>0</v>
      </c>
      <c r="I12" s="23">
        <f>=SUM(C12:H12)</f>
        <v>0</v>
      </c>
      <c r="J12" s="11" t="s"/>
      <c r="K12" s="11" t="s"/>
      <c r="L12" s="11" t="s"/>
      <c r="M12" s="11" t="s"/>
    </row>
    <row r="13" spans="1:13">
      <c r="A13" s="32" t="s"/>
      <c r="B13" s="32" t="s"/>
      <c r="C13" s="32" t="s"/>
      <c r="D13" s="32" t="s"/>
      <c r="E13" s="32" t="s"/>
      <c r="F13" s="32" t="s"/>
      <c r="G13" s="32" t="s"/>
      <c r="H13" s="32" t="s"/>
      <c r="I13" s="32" t="s"/>
      <c r="J13" s="32" t="s"/>
      <c r="K13" s="32" t="s"/>
      <c r="L13" s="32" t="s"/>
      <c r="M13" s="11" t="s"/>
    </row>
    <row r="14" spans="1:13">
      <c r="A14" s="35" t="s">
        <v>118</v>
      </c>
      <c r="B14" s="9" t="s"/>
      <c r="C14" s="9" t="s"/>
      <c r="D14" s="9" t="s"/>
      <c r="E14" s="9" t="s"/>
      <c r="F14" s="9" t="s"/>
      <c r="G14" s="9" t="s"/>
      <c r="H14" s="9" t="s"/>
      <c r="I14" s="9" t="s"/>
      <c r="J14" s="9" t="s"/>
      <c r="K14" s="9" t="s"/>
      <c r="L14" s="9" t="s"/>
      <c r="M14" s="9" t="s"/>
    </row>
    <row r="15" spans="1:13">
      <c r="A15" s="36" t="s">
        <v>24</v>
      </c>
      <c r="B15" s="36" t="s">
        <v>159</v>
      </c>
      <c r="C15" s="37" t="s"/>
      <c r="D15" s="38" t="s">
        <v>165</v>
      </c>
      <c r="E15" s="37" t="s"/>
      <c r="F15" s="36" t="s">
        <v>166</v>
      </c>
      <c r="G15" s="37" t="s"/>
      <c r="H15" s="36" t="s">
        <v>164</v>
      </c>
      <c r="I15" s="37" t="s"/>
      <c r="J15" s="38" t="s">
        <v>167</v>
      </c>
      <c r="K15" s="38" t="s">
        <v>168</v>
      </c>
      <c r="L15" s="36" t="s">
        <v>35</v>
      </c>
      <c r="M15" s="37" t="s"/>
    </row>
    <row r="16" spans="1:13">
      <c r="A16" s="37" t="s"/>
      <c r="B16" s="39" t="s">
        <v>58</v>
      </c>
      <c r="C16" s="39" t="s">
        <v>56</v>
      </c>
      <c r="D16" s="40" t="s">
        <v>169</v>
      </c>
      <c r="E16" s="39" t="s">
        <v>56</v>
      </c>
      <c r="F16" s="39" t="s">
        <v>170</v>
      </c>
      <c r="G16" s="39" t="s">
        <v>56</v>
      </c>
      <c r="H16" s="39" t="s">
        <v>58</v>
      </c>
      <c r="I16" s="39" t="s">
        <v>56</v>
      </c>
      <c r="J16" s="37" t="s"/>
      <c r="K16" s="37" t="s"/>
      <c r="L16" s="37" t="s"/>
      <c r="M16" s="37" t="s"/>
    </row>
    <row r="17" spans="1:13">
      <c r="A17" s="41" t="s">
        <v>36</v>
      </c>
      <c r="B17" s="42" t="s"/>
      <c r="C17" s="45" t="s"/>
      <c r="D17" s="42" t="s"/>
      <c r="E17" s="43" t="s"/>
      <c r="F17" s="45" t="s"/>
      <c r="G17" s="45" t="s"/>
      <c r="H17" s="42" t="s"/>
      <c r="I17" s="45" t="s"/>
      <c r="J17" s="43" t="s"/>
      <c r="K17" s="43" t="s"/>
      <c r="L17" s="46" t="s"/>
      <c r="M17" s="9" t="s"/>
    </row>
    <row r="18" spans="1:13">
      <c r="A18" s="41" t="s">
        <v>37</v>
      </c>
      <c r="B18" s="42" t="s"/>
      <c r="C18" s="45" t="s"/>
      <c r="D18" s="42" t="s"/>
      <c r="E18" s="43" t="s"/>
      <c r="F18" s="45" t="s"/>
      <c r="G18" s="45" t="s"/>
      <c r="H18" s="42" t="s"/>
      <c r="I18" s="45" t="s"/>
      <c r="J18" s="43" t="s"/>
      <c r="K18" s="43" t="s"/>
      <c r="L18" s="46" t="s"/>
      <c r="M18" s="9" t="s"/>
    </row>
    <row r="19" spans="1:13">
      <c r="A19" s="47" t="s">
        <v>38</v>
      </c>
      <c r="B19" s="42" t="s"/>
      <c r="C19" s="45" t="s"/>
      <c r="D19" s="42" t="s"/>
      <c r="E19" s="43" t="s"/>
      <c r="F19" s="45" t="s"/>
      <c r="G19" s="45" t="s"/>
      <c r="H19" s="42" t="s"/>
      <c r="I19" s="45" t="s"/>
      <c r="J19" s="43" t="s"/>
      <c r="K19" s="43" t="s"/>
      <c r="L19" s="46" t="s"/>
      <c r="M19" s="9" t="s"/>
    </row>
    <row r="20" spans="1:13">
      <c r="A20" s="39" t="s">
        <v>39</v>
      </c>
      <c r="B20" s="42" t="s"/>
      <c r="C20" s="45" t="s"/>
      <c r="D20" s="42" t="s"/>
      <c r="E20" s="43" t="s"/>
      <c r="F20" s="45" t="s"/>
      <c r="G20" s="45" t="s"/>
      <c r="H20" s="42" t="s"/>
      <c r="I20" s="45" t="s"/>
      <c r="J20" s="43" t="s"/>
      <c r="K20" s="43" t="s"/>
      <c r="L20" s="46" t="s"/>
      <c r="M20" s="9" t="s"/>
    </row>
    <row r="21" spans="1:13">
      <c r="A21" s="41" t="s">
        <v>40</v>
      </c>
      <c r="B21" s="42" t="s"/>
      <c r="C21" s="45" t="s"/>
      <c r="D21" s="42" t="s"/>
      <c r="E21" s="43" t="s"/>
      <c r="F21" s="45" t="s"/>
      <c r="G21" s="45" t="s"/>
      <c r="H21" s="42" t="s"/>
      <c r="I21" s="45" t="s"/>
      <c r="J21" s="43" t="s"/>
      <c r="K21" s="43" t="s"/>
      <c r="L21" s="46" t="s"/>
      <c r="M21" s="9" t="s"/>
    </row>
    <row r="22" spans="1:13">
      <c r="A22" s="41" t="s">
        <v>41</v>
      </c>
      <c r="B22" s="42" t="s"/>
      <c r="C22" s="45" t="s"/>
      <c r="D22" s="42" t="s"/>
      <c r="E22" s="43" t="s"/>
      <c r="F22" s="45" t="s"/>
      <c r="G22" s="45" t="s"/>
      <c r="H22" s="42" t="s"/>
      <c r="I22" s="45" t="s"/>
      <c r="J22" s="43" t="s"/>
      <c r="K22" s="43" t="s"/>
      <c r="L22" s="46" t="s"/>
      <c r="M22" s="9" t="s"/>
    </row>
    <row r="23" spans="1:13">
      <c r="A23" s="47" t="s">
        <v>42</v>
      </c>
      <c r="B23" s="42" t="s"/>
      <c r="C23" s="45" t="s"/>
      <c r="D23" s="42" t="s"/>
      <c r="E23" s="43" t="s"/>
      <c r="F23" s="45" t="s"/>
      <c r="G23" s="45" t="s"/>
      <c r="H23" s="42" t="s"/>
      <c r="I23" s="45" t="s"/>
      <c r="J23" s="43" t="s"/>
      <c r="K23" s="43" t="s"/>
      <c r="L23" s="46" t="s"/>
      <c r="M23" s="9" t="s"/>
    </row>
    <row r="24" spans="1:13">
      <c r="A24" s="41" t="s">
        <v>43</v>
      </c>
      <c r="B24" s="42" t="s"/>
      <c r="C24" s="45" t="s"/>
      <c r="D24" s="42" t="s"/>
      <c r="E24" s="43" t="s"/>
      <c r="F24" s="45" t="s"/>
      <c r="G24" s="45" t="s"/>
      <c r="H24" s="42" t="s"/>
      <c r="I24" s="45" t="s"/>
      <c r="J24" s="43" t="s"/>
      <c r="K24" s="43" t="s"/>
      <c r="L24" s="46" t="s"/>
      <c r="M24" s="9" t="s"/>
    </row>
    <row r="25" spans="1:13">
      <c r="A25" s="47" t="s">
        <v>44</v>
      </c>
      <c r="B25" s="42" t="s"/>
      <c r="C25" s="45" t="s"/>
      <c r="D25" s="42" t="s"/>
      <c r="E25" s="43" t="s"/>
      <c r="F25" s="45" t="s"/>
      <c r="G25" s="45" t="s"/>
      <c r="H25" s="42" t="s"/>
      <c r="I25" s="45" t="s"/>
      <c r="J25" s="43" t="s"/>
      <c r="K25" s="43" t="s"/>
      <c r="L25" s="46" t="s"/>
      <c r="M25" s="9" t="s"/>
    </row>
    <row r="26" spans="1:13">
      <c r="A26" s="41" t="s">
        <v>45</v>
      </c>
      <c r="B26" s="42" t="s"/>
      <c r="C26" s="45" t="s"/>
      <c r="D26" s="42" t="s"/>
      <c r="E26" s="43" t="s"/>
      <c r="F26" s="45" t="s"/>
      <c r="G26" s="45" t="s"/>
      <c r="H26" s="42" t="s"/>
      <c r="I26" s="45" t="s"/>
      <c r="J26" s="43" t="s"/>
      <c r="K26" s="43" t="s"/>
      <c r="L26" s="46" t="s"/>
      <c r="M26" s="9" t="s"/>
    </row>
  </sheetData>
  <mergeCells count="20">
    <mergeCell ref="A1:I1"/>
    <mergeCell ref="A14:M14"/>
    <mergeCell ref="A15:A16"/>
    <mergeCell ref="B15:C15"/>
    <mergeCell ref="D15:E15"/>
    <mergeCell ref="F15:G15"/>
    <mergeCell ref="H15:I15"/>
    <mergeCell ref="J15:J16"/>
    <mergeCell ref="K15:K16"/>
    <mergeCell ref="L15:M16"/>
    <mergeCell ref="L17:M17"/>
    <mergeCell ref="L18:M18"/>
    <mergeCell ref="L19:M19"/>
    <mergeCell ref="L20:M20"/>
    <mergeCell ref="L21:M21"/>
    <mergeCell ref="L22:M22"/>
    <mergeCell ref="L23:M23"/>
    <mergeCell ref="L24:M24"/>
    <mergeCell ref="L25:M25"/>
    <mergeCell ref="L26:M26"/>
  </mergeCells>
</worksheet>
</file>

<file path=xl/worksheets/sheet7.xml><?xml version="1.0" encoding="utf-8"?>
<worksheet xmlns="http://schemas.openxmlformats.org/spreadsheetml/2006/main">
  <sheetPr codeName="部门互评">
    <tabColor/>
  </sheetPr>
  <dimension ref="I12"/>
  <sheetViews>
    <sheetView showGridLines="true" workbookViewId="0"/>
  </sheetViews>
  <sheetFormatPr baseColWidth="13" defaultRowHeight="18" customHeight="true"/>
  <cols>
    <col min="1" max="1" width="6.71094" customWidth="true"/>
    <col min="2" max="2" width="10.6523" customWidth="true"/>
    <col min="3" max="3" width="7.71094" customWidth="true"/>
    <col min="4" max="4" width="7.71094" customWidth="true"/>
    <col min="5" max="6" width="4.71094" customWidth="true"/>
    <col min="7" max="7" width="6.71094" customWidth="true"/>
    <col min="8" max="9" width="4.71094" customWidth="true"/>
  </cols>
  <sheetData>
    <row r="1" spans="1:9">
      <c r="A1" s="48" t="s">
        <v>60</v>
      </c>
      <c r="B1" s="9" t="s"/>
      <c r="C1" s="9" t="s"/>
      <c r="D1" s="9" t="s"/>
      <c r="E1" s="9" t="s"/>
      <c r="F1" s="9" t="s"/>
      <c r="G1" s="9" t="s"/>
      <c r="H1" s="9" t="s"/>
      <c r="I1" s="9" t="s"/>
    </row>
    <row r="2" spans="1:9">
      <c r="A2" s="49" t="s">
        <v>23</v>
      </c>
      <c r="B2" s="18" t="s">
        <v>61</v>
      </c>
      <c r="C2" s="18" t="s">
        <v>62</v>
      </c>
      <c r="D2" s="18" t="s">
        <v>63</v>
      </c>
      <c r="E2" s="18" t="s">
        <v>64</v>
      </c>
      <c r="F2" s="18" t="s">
        <v>65</v>
      </c>
      <c r="G2" s="49" t="s">
        <v>66</v>
      </c>
      <c r="H2" s="49" t="s">
        <v>35</v>
      </c>
      <c r="I2" s="49" t="s">
        <v>35</v>
      </c>
    </row>
    <row r="3" spans="1:9">
      <c r="A3" s="31">
        <v>1</v>
      </c>
      <c r="B3" s="20" t="s">
        <v>36</v>
      </c>
      <c r="C3" s="50" t="s"/>
      <c r="D3" s="50" t="s"/>
      <c r="E3" s="51" t="s"/>
      <c r="F3" s="52" t="s"/>
      <c r="G3" s="51" t="s"/>
      <c r="H3" s="27" t="s"/>
      <c r="I3" s="27" t="s"/>
    </row>
    <row r="4" spans="1:9">
      <c r="A4" s="31">
        <v>2</v>
      </c>
      <c r="B4" s="28" t="s">
        <v>37</v>
      </c>
      <c r="C4" s="50" t="s"/>
      <c r="D4" s="50" t="s"/>
      <c r="E4" s="51" t="s"/>
      <c r="F4" s="52" t="s"/>
      <c r="G4" s="51" t="s"/>
      <c r="H4" s="27" t="s"/>
      <c r="I4" s="27" t="s"/>
    </row>
    <row r="5" spans="1:9">
      <c r="A5" s="31">
        <v>3</v>
      </c>
      <c r="B5" s="20" t="s">
        <v>38</v>
      </c>
      <c r="C5" s="50" t="s"/>
      <c r="D5" s="50" t="s"/>
      <c r="E5" s="51" t="s"/>
      <c r="F5" s="52" t="s"/>
      <c r="G5" s="51" t="s"/>
      <c r="H5" s="27" t="s"/>
      <c r="I5" s="27" t="s"/>
    </row>
    <row r="6" spans="1:9">
      <c r="A6" s="31">
        <v>4</v>
      </c>
      <c r="B6" s="20" t="s">
        <v>39</v>
      </c>
      <c r="C6" s="50" t="s"/>
      <c r="D6" s="50" t="s"/>
      <c r="E6" s="51" t="s"/>
      <c r="F6" s="52" t="s"/>
      <c r="G6" s="51" t="s"/>
      <c r="H6" s="27" t="s"/>
      <c r="I6" s="27" t="s"/>
    </row>
    <row r="7" spans="1:9">
      <c r="A7" s="31">
        <v>5</v>
      </c>
      <c r="B7" s="28" t="s">
        <v>40</v>
      </c>
      <c r="C7" s="50" t="s"/>
      <c r="D7" s="50" t="s"/>
      <c r="E7" s="51" t="s"/>
      <c r="F7" s="52" t="s"/>
      <c r="G7" s="51" t="s"/>
      <c r="H7" s="27" t="s"/>
      <c r="I7" s="27" t="s"/>
    </row>
    <row r="8" spans="1:9">
      <c r="A8" s="31">
        <v>6</v>
      </c>
      <c r="B8" s="28" t="s">
        <v>41</v>
      </c>
      <c r="C8" s="50" t="s"/>
      <c r="D8" s="50" t="s"/>
      <c r="E8" s="51" t="s"/>
      <c r="F8" s="52" t="s"/>
      <c r="G8" s="51" t="s"/>
      <c r="H8" s="27" t="s"/>
      <c r="I8" s="27" t="s"/>
    </row>
    <row r="9" spans="1:9">
      <c r="A9" s="31">
        <v>7</v>
      </c>
      <c r="B9" s="28" t="s">
        <v>42</v>
      </c>
      <c r="C9" s="50" t="s"/>
      <c r="D9" s="50" t="s"/>
      <c r="E9" s="51" t="s"/>
      <c r="F9" s="52" t="s"/>
      <c r="G9" s="51" t="s"/>
      <c r="H9" s="27" t="s"/>
      <c r="I9" s="27" t="s"/>
    </row>
    <row r="10" spans="1:9">
      <c r="A10" s="31">
        <v>8</v>
      </c>
      <c r="B10" s="28" t="s">
        <v>43</v>
      </c>
      <c r="C10" s="50" t="s"/>
      <c r="D10" s="50" t="s"/>
      <c r="E10" s="51" t="s"/>
      <c r="F10" s="52" t="s"/>
      <c r="G10" s="51" t="s"/>
      <c r="H10" s="27" t="s"/>
      <c r="I10" s="27" t="s"/>
    </row>
    <row r="11" spans="1:9">
      <c r="A11" s="31">
        <v>9</v>
      </c>
      <c r="B11" s="28" t="s">
        <v>44</v>
      </c>
      <c r="C11" s="50" t="s"/>
      <c r="D11" s="50" t="s"/>
      <c r="E11" s="51" t="s"/>
      <c r="F11" s="52" t="s"/>
      <c r="G11" s="51" t="s"/>
      <c r="H11" s="27" t="s"/>
      <c r="I11" s="27" t="s"/>
    </row>
    <row r="12" spans="1:9">
      <c r="A12" s="31">
        <v>10</v>
      </c>
      <c r="B12" s="28" t="s">
        <v>45</v>
      </c>
      <c r="C12" s="50" t="s"/>
      <c r="D12" s="50" t="s"/>
      <c r="E12" s="51" t="s"/>
      <c r="F12" s="52" t="s"/>
      <c r="G12" s="51" t="s"/>
      <c r="H12" s="27" t="s"/>
      <c r="I12" s="27" t="s"/>
    </row>
  </sheetData>
  <mergeCells count="1">
    <mergeCell ref="A1:I1"/>
  </mergeCells>
</worksheet>
</file>

<file path=xl/worksheets/sheet8.xml><?xml version="1.0" encoding="utf-8"?>
<worksheet xmlns="http://schemas.openxmlformats.org/spreadsheetml/2006/main">
  <sheetPr codeName="绩效加分">
    <tabColor/>
  </sheetPr>
  <dimension ref="R33"/>
  <sheetViews>
    <sheetView showGridLines="true" workbookViewId="0"/>
  </sheetViews>
  <sheetFormatPr baseColWidth="13" defaultRowHeight="18" customHeight="true"/>
  <cols>
    <col min="1" max="1" width="5.71094" customWidth="true"/>
    <col min="2" max="2" width="11.7109" customWidth="true"/>
    <col min="3" max="4" width="7.71094" customWidth="true"/>
    <col min="5" max="5" width="7.71094" customWidth="true"/>
    <col min="6" max="6" width="9.71094" customWidth="true"/>
    <col min="7" max="7" width="8.71094" customWidth="true"/>
    <col min="8" max="8" width="7.71094" customWidth="true"/>
    <col min="9" max="9" width="6.71094" customWidth="true"/>
    <col min="10" max="10" width="7.71094" customWidth="true"/>
    <col min="11" max="11" width="7.71094" customWidth="true"/>
    <col min="12" max="18" width="6.71094" customWidth="true"/>
  </cols>
  <sheetData>
    <row r="1" spans="1:18">
      <c r="A1" s="8" t="s">
        <v>22</v>
      </c>
      <c r="B1" s="9" t="s"/>
      <c r="C1" s="9" t="s"/>
      <c r="D1" s="9" t="s"/>
      <c r="E1" s="9" t="s"/>
      <c r="F1" s="9" t="s"/>
      <c r="G1" s="9" t="s"/>
      <c r="H1" s="9" t="s"/>
      <c r="I1" s="9" t="s"/>
      <c r="J1" s="9" t="s"/>
      <c r="K1" s="9" t="s"/>
      <c r="L1" s="10" t="s"/>
      <c r="M1" s="11" t="s"/>
      <c r="N1" s="11" t="s"/>
      <c r="O1" s="11" t="s"/>
      <c r="P1" s="11" t="s"/>
      <c r="Q1" s="11" t="s"/>
      <c r="R1" s="11" t="s"/>
    </row>
    <row r="2" spans="1:18">
      <c r="A2" s="12" t="s">
        <v>23</v>
      </c>
      <c r="B2" s="13" t="s">
        <v>24</v>
      </c>
      <c r="C2" s="14" t="s">
        <v>25</v>
      </c>
      <c r="D2" s="15" t="s">
        <v>26</v>
      </c>
      <c r="E2" s="16" t="s">
        <v>27</v>
      </c>
      <c r="F2" s="16" t="s">
        <v>28</v>
      </c>
      <c r="G2" s="17" t="s">
        <v>29</v>
      </c>
      <c r="H2" s="17" t="s">
        <v>30</v>
      </c>
      <c r="I2" s="17" t="s">
        <v>31</v>
      </c>
      <c r="J2" s="15" t="s">
        <v>32</v>
      </c>
      <c r="K2" s="16" t="s">
        <v>33</v>
      </c>
      <c r="L2" s="16" t="s">
        <v>34</v>
      </c>
      <c r="M2" s="18" t="s">
        <v>35</v>
      </c>
      <c r="N2" s="11" t="s"/>
      <c r="O2" s="11" t="s"/>
      <c r="P2" s="11" t="s"/>
      <c r="Q2" s="11" t="s"/>
      <c r="R2" s="11" t="s"/>
    </row>
    <row r="3" spans="1:18">
      <c r="A3" s="19">
        <v>1</v>
      </c>
      <c r="B3" s="20" t="s">
        <v>36</v>
      </c>
      <c r="C3" s="21">
        <f>=C17</f>
        <v>0</v>
      </c>
      <c r="D3" s="22">
        <f>=E17</f>
        <v>0</v>
      </c>
      <c r="E3" s="22">
        <f>=G17</f>
        <v>0</v>
      </c>
      <c r="F3" s="22">
        <f>=I17</f>
        <v>0</v>
      </c>
      <c r="G3" s="22">
        <f>=K17</f>
        <v>0</v>
      </c>
      <c r="H3" s="22">
        <f>=Q17</f>
        <v>0</v>
      </c>
      <c r="I3" s="23">
        <f>=M17</f>
        <v>0</v>
      </c>
      <c r="J3" s="24">
        <f>=O17</f>
        <v>0</v>
      </c>
      <c r="K3" s="25">
        <v>2</v>
      </c>
      <c r="L3" s="26">
        <f>=SUM(C3:K3)</f>
        <v>2</v>
      </c>
      <c r="M3" s="27" t="s"/>
      <c r="N3" s="11" t="s"/>
      <c r="O3" s="11" t="s"/>
      <c r="P3" s="11" t="s"/>
      <c r="Q3" s="11" t="s"/>
      <c r="R3" s="11" t="s"/>
    </row>
    <row r="4" spans="1:18">
      <c r="A4" s="19">
        <v>2</v>
      </c>
      <c r="B4" s="20" t="s">
        <v>37</v>
      </c>
      <c r="C4" s="21">
        <f>=C18</f>
        <v>0</v>
      </c>
      <c r="D4" s="22">
        <f>=E18</f>
        <v>0</v>
      </c>
      <c r="E4" s="22">
        <f>=G18</f>
        <v>0</v>
      </c>
      <c r="F4" s="22">
        <f>=I18</f>
        <v>0</v>
      </c>
      <c r="G4" s="22">
        <f>=K18</f>
        <v>0</v>
      </c>
      <c r="H4" s="22">
        <f>=Q18</f>
        <v>0</v>
      </c>
      <c r="I4" s="23">
        <f>=M18</f>
        <v>0</v>
      </c>
      <c r="J4" s="24">
        <f>=O18</f>
        <v>0</v>
      </c>
      <c r="K4" s="25">
        <v>0</v>
      </c>
      <c r="L4" s="26">
        <f>=SUM(C4:K4)</f>
        <v>0</v>
      </c>
      <c r="M4" s="27" t="s"/>
      <c r="N4" s="11" t="s"/>
      <c r="O4" s="11" t="s"/>
      <c r="P4" s="11" t="s"/>
      <c r="Q4" s="11" t="s"/>
      <c r="R4" s="11" t="s"/>
    </row>
    <row r="5" spans="1:18">
      <c r="A5" s="19">
        <v>3</v>
      </c>
      <c r="B5" s="20" t="s">
        <v>38</v>
      </c>
      <c r="C5" s="21">
        <f>=C19</f>
        <v>0</v>
      </c>
      <c r="D5" s="22">
        <f>=E19</f>
        <v>0</v>
      </c>
      <c r="E5" s="22">
        <f>=G19</f>
        <v>0</v>
      </c>
      <c r="F5" s="22">
        <f>=I19</f>
        <v>0</v>
      </c>
      <c r="G5" s="22">
        <f>=K19</f>
        <v>0</v>
      </c>
      <c r="H5" s="22">
        <f>=Q19</f>
        <v>0</v>
      </c>
      <c r="I5" s="23">
        <f>=M19</f>
        <v>0</v>
      </c>
      <c r="J5" s="24">
        <f>=O19</f>
        <v>0</v>
      </c>
      <c r="K5" s="25">
        <v>0</v>
      </c>
      <c r="L5" s="26">
        <f>=SUM(C5:K5)</f>
        <v>0</v>
      </c>
      <c r="M5" s="27" t="s"/>
      <c r="N5" s="11" t="s"/>
      <c r="O5" s="11" t="s"/>
      <c r="P5" s="11" t="s"/>
      <c r="Q5" s="11" t="s"/>
      <c r="R5" s="11" t="s"/>
    </row>
    <row r="6" spans="1:18">
      <c r="A6" s="19">
        <v>4</v>
      </c>
      <c r="B6" s="28" t="s">
        <v>39</v>
      </c>
      <c r="C6" s="21">
        <f>=C20</f>
        <v>0</v>
      </c>
      <c r="D6" s="22">
        <f>=E20</f>
        <v>0</v>
      </c>
      <c r="E6" s="22">
        <f>=G20</f>
        <v>0</v>
      </c>
      <c r="F6" s="22">
        <f>=I20</f>
        <v>0</v>
      </c>
      <c r="G6" s="22">
        <f>=K20</f>
        <v>0</v>
      </c>
      <c r="H6" s="22">
        <f>=Q20</f>
        <v>0</v>
      </c>
      <c r="I6" s="23">
        <f>=M20</f>
        <v>0</v>
      </c>
      <c r="J6" s="24">
        <f>=O20</f>
        <v>0</v>
      </c>
      <c r="K6" s="25">
        <v>2</v>
      </c>
      <c r="L6" s="26">
        <f>=SUM(C6:K6)</f>
        <v>2</v>
      </c>
      <c r="M6" s="27" t="s"/>
      <c r="N6" s="11" t="s"/>
      <c r="O6" s="11" t="s"/>
      <c r="P6" s="11" t="s"/>
      <c r="Q6" s="11" t="s"/>
      <c r="R6" s="11" t="s"/>
    </row>
    <row r="7" spans="1:18">
      <c r="A7" s="19">
        <v>5</v>
      </c>
      <c r="B7" s="28" t="s">
        <v>40</v>
      </c>
      <c r="C7" s="21">
        <f>=C21</f>
        <v>0</v>
      </c>
      <c r="D7" s="22">
        <f>=E21</f>
        <v>0</v>
      </c>
      <c r="E7" s="22">
        <f>=G21</f>
        <v>0</v>
      </c>
      <c r="F7" s="22">
        <f>=I21</f>
        <v>0</v>
      </c>
      <c r="G7" s="22">
        <f>=K21</f>
        <v>0</v>
      </c>
      <c r="H7" s="22">
        <f>=Q21</f>
        <v>0</v>
      </c>
      <c r="I7" s="23">
        <f>=M21</f>
        <v>0</v>
      </c>
      <c r="J7" s="24">
        <f>=O21</f>
        <v>0</v>
      </c>
      <c r="K7" s="25">
        <v>0</v>
      </c>
      <c r="L7" s="26">
        <f>=SUM(C7:K7)</f>
        <v>0</v>
      </c>
      <c r="M7" s="27" t="s"/>
      <c r="N7" s="11" t="s"/>
      <c r="O7" s="11" t="s"/>
      <c r="P7" s="11" t="s"/>
      <c r="Q7" s="11" t="s"/>
      <c r="R7" s="11" t="s"/>
    </row>
    <row r="8" spans="1:18">
      <c r="A8" s="19">
        <v>6</v>
      </c>
      <c r="B8" s="28" t="s">
        <v>41</v>
      </c>
      <c r="C8" s="21">
        <f>=C22</f>
        <v>0</v>
      </c>
      <c r="D8" s="22">
        <f>=E22</f>
        <v>0</v>
      </c>
      <c r="E8" s="22">
        <f>=G22</f>
        <v>0</v>
      </c>
      <c r="F8" s="22">
        <f>=I22</f>
        <v>0</v>
      </c>
      <c r="G8" s="22">
        <f>=K22</f>
        <v>0</v>
      </c>
      <c r="H8" s="22">
        <f>=Q22</f>
        <v>0</v>
      </c>
      <c r="I8" s="23">
        <f>=M22</f>
        <v>0</v>
      </c>
      <c r="J8" s="24">
        <f>=O22</f>
        <v>0</v>
      </c>
      <c r="K8" s="25">
        <v>0</v>
      </c>
      <c r="L8" s="26">
        <f>=SUM(C8:K8)</f>
        <v>0</v>
      </c>
      <c r="M8" s="27" t="s"/>
      <c r="N8" s="11" t="s"/>
      <c r="O8" s="11" t="s"/>
      <c r="P8" s="11" t="s"/>
      <c r="Q8" s="11" t="s"/>
      <c r="R8" s="11" t="s"/>
    </row>
    <row r="9" spans="1:18">
      <c r="A9" s="19">
        <v>7</v>
      </c>
      <c r="B9" s="28" t="s">
        <v>42</v>
      </c>
      <c r="C9" s="21">
        <f>=C23</f>
        <v>0</v>
      </c>
      <c r="D9" s="22">
        <f>=E23</f>
        <v>0</v>
      </c>
      <c r="E9" s="22">
        <f>=G23</f>
        <v>0</v>
      </c>
      <c r="F9" s="22">
        <f>=I23</f>
        <v>0</v>
      </c>
      <c r="G9" s="22">
        <f>=K23</f>
        <v>0</v>
      </c>
      <c r="H9" s="22">
        <f>=Q23</f>
        <v>0</v>
      </c>
      <c r="I9" s="23">
        <f>=M23</f>
        <v>0</v>
      </c>
      <c r="J9" s="24">
        <f>=O23</f>
        <v>0</v>
      </c>
      <c r="K9" s="25">
        <v>1</v>
      </c>
      <c r="L9" s="26">
        <f>=SUM(C9:K9)</f>
        <v>1</v>
      </c>
      <c r="M9" s="27" t="s"/>
      <c r="N9" s="11" t="s"/>
      <c r="O9" s="11" t="s"/>
      <c r="P9" s="11" t="s"/>
      <c r="Q9" s="11" t="s"/>
      <c r="R9" s="11" t="s"/>
    </row>
    <row r="10" spans="1:18">
      <c r="A10" s="19">
        <v>8</v>
      </c>
      <c r="B10" s="28" t="s">
        <v>43</v>
      </c>
      <c r="C10" s="21">
        <f>=C24</f>
        <v>0</v>
      </c>
      <c r="D10" s="22">
        <f>=E24</f>
        <v>0</v>
      </c>
      <c r="E10" s="22">
        <f>=G24</f>
        <v>0</v>
      </c>
      <c r="F10" s="22">
        <f>=I24</f>
        <v>0</v>
      </c>
      <c r="G10" s="22">
        <f>=K24</f>
        <v>0</v>
      </c>
      <c r="H10" s="22">
        <f>=Q24</f>
        <v>0</v>
      </c>
      <c r="I10" s="23">
        <f>=M24</f>
        <v>0</v>
      </c>
      <c r="J10" s="24">
        <f>=O24</f>
        <v>0</v>
      </c>
      <c r="K10" s="25">
        <v>0</v>
      </c>
      <c r="L10" s="26">
        <f>=SUM(C10:K10)</f>
        <v>0</v>
      </c>
      <c r="M10" s="27" t="s"/>
      <c r="N10" s="11" t="s"/>
      <c r="O10" s="11" t="s"/>
      <c r="P10" s="11" t="s"/>
      <c r="Q10" s="11" t="s"/>
      <c r="R10" s="11" t="s"/>
    </row>
    <row r="11" spans="1:18">
      <c r="A11" s="29">
        <v>9</v>
      </c>
      <c r="B11" s="30" t="s">
        <v>44</v>
      </c>
      <c r="C11" s="21">
        <f>=C25</f>
        <v>0</v>
      </c>
      <c r="D11" s="22">
        <f>=E25</f>
        <v>0</v>
      </c>
      <c r="E11" s="22">
        <f>=G25</f>
        <v>0</v>
      </c>
      <c r="F11" s="22">
        <f>=I25</f>
        <v>0</v>
      </c>
      <c r="G11" s="22">
        <f>=K25</f>
        <v>0</v>
      </c>
      <c r="H11" s="22">
        <f>=Q25</f>
        <v>0</v>
      </c>
      <c r="I11" s="23">
        <f>=M25</f>
        <v>0</v>
      </c>
      <c r="J11" s="24">
        <f>=O25</f>
        <v>0</v>
      </c>
      <c r="K11" s="25">
        <v>0</v>
      </c>
      <c r="L11" s="26">
        <f>=SUM(C11:K11)</f>
        <v>0</v>
      </c>
      <c r="M11" s="27" t="s"/>
      <c r="N11" s="11" t="s"/>
      <c r="O11" s="11" t="s"/>
      <c r="P11" s="11" t="s"/>
      <c r="Q11" s="11" t="s"/>
      <c r="R11" s="11" t="s"/>
    </row>
    <row r="12" spans="1:18">
      <c r="A12" s="31">
        <v>10</v>
      </c>
      <c r="B12" s="28" t="s">
        <v>45</v>
      </c>
      <c r="C12" s="21">
        <f>=C26</f>
        <v>0</v>
      </c>
      <c r="D12" s="22">
        <f>=E26</f>
        <v>0</v>
      </c>
      <c r="E12" s="22">
        <f>=G26</f>
        <v>0</v>
      </c>
      <c r="F12" s="22">
        <f>=I26</f>
        <v>0</v>
      </c>
      <c r="G12" s="22">
        <f>=K26</f>
        <v>0</v>
      </c>
      <c r="H12" s="22">
        <f>=Q26</f>
        <v>0</v>
      </c>
      <c r="I12" s="23">
        <f>=M26</f>
        <v>0</v>
      </c>
      <c r="J12" s="24">
        <f>=O26</f>
        <v>0</v>
      </c>
      <c r="K12" s="25">
        <v>0</v>
      </c>
      <c r="L12" s="26">
        <f>=SUM(C12:K12)</f>
        <v>0</v>
      </c>
      <c r="M12" s="27" t="s"/>
      <c r="N12" s="11" t="s"/>
      <c r="O12" s="11" t="s"/>
      <c r="P12" s="11" t="s"/>
      <c r="Q12" s="11" t="s"/>
      <c r="R12" s="11" t="s"/>
    </row>
    <row r="13" spans="1:18">
      <c r="A13" s="32" t="s"/>
      <c r="B13" s="32" t="s"/>
      <c r="C13" s="32" t="s"/>
      <c r="D13" s="32" t="s"/>
      <c r="E13" s="32" t="s"/>
      <c r="F13" s="32" t="s"/>
      <c r="G13" s="32" t="s"/>
      <c r="H13" s="32" t="s"/>
      <c r="I13" s="32" t="s"/>
      <c r="J13" s="32" t="s"/>
      <c r="K13" s="32" t="s"/>
      <c r="L13" s="32" t="s"/>
      <c r="M13" s="32" t="s"/>
      <c r="N13" s="32" t="s"/>
      <c r="O13" s="32" t="s"/>
      <c r="P13" s="33" t="s"/>
      <c r="Q13" s="34" t="s"/>
      <c r="R13" s="34" t="s"/>
    </row>
    <row r="14" spans="1:18">
      <c r="A14" s="35" t="s">
        <v>46</v>
      </c>
      <c r="B14" s="9" t="s"/>
      <c r="C14" s="9" t="s"/>
      <c r="D14" s="9" t="s"/>
      <c r="E14" s="9" t="s"/>
      <c r="F14" s="9" t="s"/>
      <c r="G14" s="9" t="s"/>
      <c r="H14" s="9" t="s"/>
      <c r="I14" s="9" t="s"/>
      <c r="J14" s="9" t="s"/>
      <c r="K14" s="9" t="s"/>
      <c r="L14" s="9" t="s"/>
      <c r="M14" s="9" t="s"/>
      <c r="N14" s="9" t="s"/>
      <c r="O14" s="9" t="s"/>
      <c r="P14" s="9" t="s"/>
      <c r="Q14" s="9" t="s"/>
      <c r="R14" s="9" t="s"/>
    </row>
    <row r="15" spans="1:18">
      <c r="A15" s="36" t="s">
        <v>24</v>
      </c>
      <c r="B15" s="36" t="s">
        <v>47</v>
      </c>
      <c r="C15" s="37" t="s"/>
      <c r="D15" s="36" t="s">
        <v>48</v>
      </c>
      <c r="E15" s="37" t="s"/>
      <c r="F15" s="36" t="s">
        <v>49</v>
      </c>
      <c r="G15" s="37" t="s"/>
      <c r="H15" s="36" t="s">
        <v>50</v>
      </c>
      <c r="I15" s="37" t="s"/>
      <c r="J15" s="36" t="s">
        <v>51</v>
      </c>
      <c r="K15" s="37" t="s"/>
      <c r="L15" s="38" t="s">
        <v>52</v>
      </c>
      <c r="M15" s="37" t="s"/>
      <c r="N15" s="36" t="s">
        <v>53</v>
      </c>
      <c r="O15" s="37" t="s"/>
      <c r="P15" s="38" t="s">
        <v>54</v>
      </c>
      <c r="Q15" s="37" t="s"/>
      <c r="R15" s="36" t="s">
        <v>35</v>
      </c>
    </row>
    <row r="16" spans="1:18">
      <c r="A16" s="37" t="s"/>
      <c r="B16" s="39" t="s">
        <v>55</v>
      </c>
      <c r="C16" s="39" t="s">
        <v>56</v>
      </c>
      <c r="D16" s="40" t="s">
        <v>57</v>
      </c>
      <c r="E16" s="39" t="s">
        <v>56</v>
      </c>
      <c r="F16" s="39" t="s">
        <v>58</v>
      </c>
      <c r="G16" s="39" t="s">
        <v>56</v>
      </c>
      <c r="H16" s="39" t="s">
        <v>59</v>
      </c>
      <c r="I16" s="39" t="s">
        <v>56</v>
      </c>
      <c r="J16" s="39" t="s">
        <v>58</v>
      </c>
      <c r="K16" s="39" t="s">
        <v>56</v>
      </c>
      <c r="L16" s="39" t="s">
        <v>58</v>
      </c>
      <c r="M16" s="39" t="s">
        <v>56</v>
      </c>
      <c r="N16" s="39" t="s">
        <v>58</v>
      </c>
      <c r="O16" s="39" t="s">
        <v>56</v>
      </c>
      <c r="P16" s="39" t="s">
        <v>58</v>
      </c>
      <c r="Q16" s="39" t="s">
        <v>56</v>
      </c>
      <c r="R16" s="37" t="s"/>
    </row>
    <row r="17" spans="1:18">
      <c r="A17" s="41" t="s">
        <v>36</v>
      </c>
      <c r="B17" s="42" t="s"/>
      <c r="C17" s="43" t="s"/>
      <c r="D17" s="39" t="s"/>
      <c r="E17" s="44" t="s"/>
      <c r="F17" s="42" t="s"/>
      <c r="G17" s="43" t="s"/>
      <c r="H17" s="42" t="s"/>
      <c r="I17" s="45" t="s"/>
      <c r="J17" s="42" t="s"/>
      <c r="K17" s="43" t="s"/>
      <c r="L17" s="42" t="s"/>
      <c r="M17" s="43" t="s"/>
      <c r="N17" s="42" t="s"/>
      <c r="O17" s="43" t="s"/>
      <c r="P17" s="42" t="s"/>
      <c r="Q17" s="43" t="s"/>
      <c r="R17" s="46" t="s"/>
    </row>
    <row r="18" spans="1:18">
      <c r="A18" s="41" t="s">
        <v>37</v>
      </c>
      <c r="B18" s="42" t="s"/>
      <c r="C18" s="43" t="s"/>
      <c r="D18" s="9" t="s"/>
      <c r="E18" s="43" t="s"/>
      <c r="F18" s="42" t="s"/>
      <c r="G18" s="43" t="s"/>
      <c r="H18" s="42" t="s"/>
      <c r="I18" s="45" t="s"/>
      <c r="J18" s="42" t="s"/>
      <c r="K18" s="43" t="s"/>
      <c r="L18" s="42" t="s"/>
      <c r="M18" s="43" t="s"/>
      <c r="N18" s="42" t="s"/>
      <c r="O18" s="43" t="s"/>
      <c r="P18" s="42" t="s"/>
      <c r="Q18" s="43" t="s"/>
      <c r="R18" s="46" t="s"/>
    </row>
    <row r="19" spans="1:18">
      <c r="A19" s="47" t="s">
        <v>38</v>
      </c>
      <c r="B19" s="42" t="s"/>
      <c r="C19" s="43" t="s"/>
      <c r="D19" s="9" t="s"/>
      <c r="E19" s="43" t="s"/>
      <c r="F19" s="42" t="s"/>
      <c r="G19" s="43" t="s"/>
      <c r="H19" s="42" t="s"/>
      <c r="I19" s="45" t="s"/>
      <c r="J19" s="42" t="s"/>
      <c r="K19" s="43" t="s"/>
      <c r="L19" s="42" t="s"/>
      <c r="M19" s="43" t="s"/>
      <c r="N19" s="42" t="s"/>
      <c r="O19" s="43" t="s"/>
      <c r="P19" s="42" t="s"/>
      <c r="Q19" s="43" t="s"/>
      <c r="R19" s="46" t="s"/>
    </row>
    <row r="20" spans="1:18">
      <c r="A20" s="39" t="s">
        <v>39</v>
      </c>
      <c r="B20" s="42" t="s"/>
      <c r="C20" s="43" t="s"/>
      <c r="D20" s="9" t="s"/>
      <c r="E20" s="43" t="s"/>
      <c r="F20" s="42" t="s"/>
      <c r="G20" s="43" t="s"/>
      <c r="H20" s="42" t="s"/>
      <c r="I20" s="45" t="s"/>
      <c r="J20" s="42" t="s"/>
      <c r="K20" s="43" t="s"/>
      <c r="L20" s="42" t="s"/>
      <c r="M20" s="43" t="s"/>
      <c r="N20" s="42" t="s"/>
      <c r="O20" s="43" t="s"/>
      <c r="P20" s="42" t="s"/>
      <c r="Q20" s="43" t="s"/>
      <c r="R20" s="46" t="s"/>
    </row>
    <row r="21" spans="1:18">
      <c r="A21" s="41" t="s">
        <v>40</v>
      </c>
      <c r="B21" s="42" t="s"/>
      <c r="C21" s="43" t="s"/>
      <c r="D21" s="9" t="s"/>
      <c r="E21" s="43" t="s"/>
      <c r="F21" s="42" t="s"/>
      <c r="G21" s="43" t="s"/>
      <c r="H21" s="42" t="s"/>
      <c r="I21" s="45" t="s"/>
      <c r="J21" s="42" t="s"/>
      <c r="K21" s="43" t="s"/>
      <c r="L21" s="42" t="s"/>
      <c r="M21" s="43" t="s"/>
      <c r="N21" s="42" t="s"/>
      <c r="O21" s="43" t="s"/>
      <c r="P21" s="42" t="s"/>
      <c r="Q21" s="43" t="s"/>
      <c r="R21" s="46" t="s"/>
    </row>
    <row r="22" spans="1:18">
      <c r="A22" s="41" t="s">
        <v>41</v>
      </c>
      <c r="B22" s="42" t="s"/>
      <c r="C22" s="43" t="s"/>
      <c r="D22" s="9" t="s"/>
      <c r="E22" s="43" t="s"/>
      <c r="F22" s="42" t="s"/>
      <c r="G22" s="43" t="s"/>
      <c r="H22" s="42" t="s"/>
      <c r="I22" s="45" t="s"/>
      <c r="J22" s="42" t="s"/>
      <c r="K22" s="43" t="s"/>
      <c r="L22" s="42" t="s"/>
      <c r="M22" s="43" t="s"/>
      <c r="N22" s="42" t="s"/>
      <c r="O22" s="43" t="s"/>
      <c r="P22" s="42" t="s"/>
      <c r="Q22" s="43" t="s"/>
      <c r="R22" s="46" t="s"/>
    </row>
    <row r="23" spans="1:18">
      <c r="A23" s="47" t="s">
        <v>42</v>
      </c>
      <c r="B23" s="42" t="s"/>
      <c r="C23" s="43" t="s"/>
      <c r="D23" s="9" t="s"/>
      <c r="E23" s="43" t="s"/>
      <c r="F23" s="42" t="s"/>
      <c r="G23" s="43" t="s"/>
      <c r="H23" s="42" t="s"/>
      <c r="I23" s="45" t="s"/>
      <c r="J23" s="42" t="s"/>
      <c r="K23" s="43" t="s"/>
      <c r="L23" s="42" t="s"/>
      <c r="M23" s="43" t="s"/>
      <c r="N23" s="42" t="s"/>
      <c r="O23" s="43" t="s"/>
      <c r="P23" s="42" t="s"/>
      <c r="Q23" s="43" t="s"/>
      <c r="R23" s="46" t="s"/>
    </row>
    <row r="24" spans="1:18">
      <c r="A24" s="41" t="s">
        <v>43</v>
      </c>
      <c r="B24" s="42" t="s"/>
      <c r="C24" s="43" t="s"/>
      <c r="D24" s="9" t="s"/>
      <c r="E24" s="43" t="s"/>
      <c r="F24" s="42" t="s"/>
      <c r="G24" s="43" t="s"/>
      <c r="H24" s="42" t="s"/>
      <c r="I24" s="45" t="s"/>
      <c r="J24" s="42" t="s"/>
      <c r="K24" s="43" t="s"/>
      <c r="L24" s="42" t="s"/>
      <c r="M24" s="43" t="s"/>
      <c r="N24" s="42" t="s"/>
      <c r="O24" s="43" t="s"/>
      <c r="P24" s="42" t="s"/>
      <c r="Q24" s="43" t="s"/>
      <c r="R24" s="46" t="s"/>
    </row>
    <row r="25" spans="1:18">
      <c r="A25" s="47" t="s">
        <v>44</v>
      </c>
      <c r="B25" s="42" t="s"/>
      <c r="C25" s="43" t="s"/>
      <c r="D25" s="9" t="s"/>
      <c r="E25" s="43" t="s"/>
      <c r="F25" s="42" t="s"/>
      <c r="G25" s="43" t="s"/>
      <c r="H25" s="42" t="s"/>
      <c r="I25" s="45" t="s"/>
      <c r="J25" s="42" t="s"/>
      <c r="K25" s="43" t="s"/>
      <c r="L25" s="42" t="s"/>
      <c r="M25" s="43" t="s"/>
      <c r="N25" s="42" t="s"/>
      <c r="O25" s="43" t="s"/>
      <c r="P25" s="42" t="s"/>
      <c r="Q25" s="43" t="s"/>
      <c r="R25" s="46" t="s"/>
    </row>
    <row r="26" spans="1:18">
      <c r="A26" s="41" t="s">
        <v>45</v>
      </c>
      <c r="B26" s="42" t="s"/>
      <c r="C26" s="43" t="s"/>
      <c r="D26" s="9" t="s"/>
      <c r="E26" s="43" t="s"/>
      <c r="F26" s="42" t="s"/>
      <c r="G26" s="43" t="s"/>
      <c r="H26" s="42" t="s"/>
      <c r="I26" s="45" t="s"/>
      <c r="J26" s="42" t="s"/>
      <c r="K26" s="43" t="s"/>
      <c r="L26" s="42" t="s"/>
      <c r="M26" s="43" t="s"/>
      <c r="N26" s="42" t="s"/>
      <c r="O26" s="43" t="s"/>
      <c r="P26" s="42" t="s"/>
      <c r="Q26" s="43" t="s"/>
      <c r="R26" s="46" t="s"/>
    </row>
    <row r="27" spans="1:18">
      <c r="A27" s="11" t="s"/>
      <c r="B27" s="10" t="s"/>
      <c r="C27" s="10" t="s"/>
      <c r="D27" s="10" t="s"/>
      <c r="E27" s="10" t="s"/>
      <c r="F27" s="10" t="s"/>
      <c r="G27" s="10" t="s"/>
      <c r="H27" s="10" t="s"/>
      <c r="I27" s="11" t="s"/>
      <c r="J27" s="10" t="s"/>
      <c r="K27" s="11" t="s"/>
      <c r="L27" s="10" t="s"/>
      <c r="M27" s="11" t="s"/>
      <c r="N27" s="11" t="s"/>
      <c r="O27" s="11" t="s"/>
      <c r="P27" s="11" t="s"/>
      <c r="Q27" s="11" t="s"/>
      <c r="R27" s="11" t="s"/>
    </row>
    <row r="28" spans="1:18">
      <c r="A28" s="11" t="s"/>
      <c r="B28" s="10" t="s"/>
      <c r="C28" s="10" t="s"/>
      <c r="D28" s="10" t="s"/>
      <c r="E28" s="10" t="s"/>
      <c r="F28" s="10" t="s"/>
      <c r="G28" s="10" t="s"/>
      <c r="H28" s="10" t="s"/>
      <c r="I28" s="11" t="s"/>
      <c r="J28" s="10" t="s"/>
      <c r="K28" s="11" t="s"/>
      <c r="L28" s="10" t="s"/>
      <c r="M28" s="11" t="s"/>
      <c r="N28" s="11" t="s"/>
      <c r="O28" s="11" t="s"/>
      <c r="P28" s="11" t="s"/>
      <c r="Q28" s="11" t="s"/>
      <c r="R28" s="11" t="s"/>
    </row>
    <row r="29" spans="1:18">
      <c r="A29" s="11" t="s"/>
      <c r="B29" s="10" t="s"/>
      <c r="C29" s="10" t="s"/>
      <c r="D29" s="10" t="s"/>
      <c r="E29" s="10" t="s"/>
      <c r="F29" s="10" t="s"/>
      <c r="G29" s="10" t="s"/>
      <c r="H29" s="10" t="s"/>
      <c r="I29" s="11" t="s"/>
      <c r="J29" s="10" t="s"/>
      <c r="K29" s="11" t="s"/>
      <c r="L29" s="10" t="s"/>
      <c r="M29" s="11" t="s"/>
      <c r="N29" s="11" t="s"/>
      <c r="O29" s="11" t="s"/>
      <c r="P29" s="11" t="s"/>
      <c r="Q29" s="11" t="s"/>
      <c r="R29" s="11" t="s"/>
    </row>
    <row r="30" spans="1:18">
      <c r="A30" s="11" t="s"/>
      <c r="B30" s="10" t="s"/>
      <c r="C30" s="10" t="s"/>
      <c r="D30" s="10" t="s"/>
      <c r="E30" s="10" t="s"/>
      <c r="F30" s="10" t="s"/>
      <c r="G30" s="10" t="s"/>
      <c r="H30" s="10" t="s"/>
      <c r="I30" s="11" t="s"/>
      <c r="J30" s="10" t="s"/>
      <c r="K30" s="11" t="s"/>
      <c r="L30" s="10" t="s"/>
      <c r="M30" s="11" t="s"/>
      <c r="N30" s="11" t="s"/>
      <c r="O30" s="11" t="s"/>
      <c r="P30" s="11" t="s"/>
      <c r="Q30" s="11" t="s"/>
      <c r="R30" s="11" t="s"/>
    </row>
    <row r="31" spans="1:18">
      <c r="A31" s="11" t="s"/>
      <c r="B31" s="10" t="s"/>
      <c r="C31" s="10" t="s"/>
      <c r="D31" s="10" t="s"/>
      <c r="E31" s="10" t="s"/>
      <c r="F31" s="10" t="s"/>
      <c r="G31" s="10" t="s"/>
      <c r="H31" s="10" t="s"/>
      <c r="I31" s="11" t="s"/>
      <c r="J31" s="10" t="s"/>
      <c r="K31" s="11" t="s"/>
      <c r="L31" s="10" t="s"/>
      <c r="M31" s="11" t="s"/>
      <c r="N31" s="11" t="s"/>
      <c r="O31" s="11" t="s"/>
      <c r="P31" s="11" t="s"/>
      <c r="Q31" s="11" t="s"/>
      <c r="R31" s="11" t="s"/>
    </row>
    <row r="32" spans="1:18">
      <c r="A32" s="11" t="s"/>
      <c r="B32" s="10" t="s"/>
      <c r="C32" s="10" t="s"/>
      <c r="D32" s="10" t="s"/>
      <c r="E32" s="10" t="s"/>
      <c r="F32" s="10" t="s"/>
      <c r="G32" s="10" t="s"/>
      <c r="H32" s="10" t="s"/>
      <c r="I32" s="11" t="s"/>
      <c r="J32" s="10" t="s"/>
      <c r="K32" s="11" t="s"/>
      <c r="L32" s="10" t="s"/>
      <c r="M32" s="11" t="s"/>
      <c r="N32" s="11" t="s"/>
      <c r="O32" s="11" t="s"/>
      <c r="P32" s="11" t="s"/>
      <c r="Q32" s="11" t="s"/>
      <c r="R32" s="11" t="s"/>
    </row>
    <row r="33" spans="1:18">
      <c r="A33" s="11" t="s"/>
      <c r="B33" s="10" t="s"/>
      <c r="C33" s="10" t="s"/>
      <c r="D33" s="10" t="s"/>
      <c r="E33" s="10" t="s"/>
      <c r="F33" s="10" t="s"/>
      <c r="G33" s="10" t="s"/>
      <c r="H33" s="10" t="s"/>
      <c r="I33" s="11" t="s"/>
      <c r="J33" s="10" t="s"/>
      <c r="K33" s="11" t="s"/>
      <c r="L33" s="10" t="s"/>
      <c r="M33" s="11" t="s"/>
      <c r="N33" s="11" t="s"/>
      <c r="O33" s="11" t="s"/>
      <c r="P33" s="11" t="s"/>
      <c r="Q33" s="11" t="s"/>
      <c r="R33" s="11" t="s"/>
    </row>
  </sheetData>
  <mergeCells count="13">
    <mergeCell ref="A1:K1"/>
    <mergeCell ref="A14:R14"/>
    <mergeCell ref="A15:A16"/>
    <mergeCell ref="B15:C15"/>
    <mergeCell ref="D15:E15"/>
    <mergeCell ref="F15:G15"/>
    <mergeCell ref="H15:I15"/>
    <mergeCell ref="J15:K15"/>
    <mergeCell ref="L15:M15"/>
    <mergeCell ref="N15:O15"/>
    <mergeCell ref="P15:Q15"/>
    <mergeCell ref="R15:R16"/>
    <mergeCell ref="D17:D26"/>
  </mergeCells>
</worksheet>
</file>

<file path=xl/worksheets/sheet9.xml><?xml version="1.0" encoding="utf-8"?>
<worksheet xmlns="http://schemas.openxmlformats.org/spreadsheetml/2006/main">
  <sheetPr codeName="绩效减分">
    <tabColor/>
  </sheetPr>
  <dimension ref="E23"/>
  <sheetViews>
    <sheetView showGridLines="true" workbookViewId="0"/>
  </sheetViews>
  <sheetFormatPr baseColWidth="13" defaultRowHeight="18" customHeight="true"/>
  <cols>
    <col min="1" max="1" width="4.71094" customWidth="true"/>
    <col min="2" max="2" width="16.7344" customWidth="true"/>
    <col min="3" max="3" width="28.7109" customWidth="true"/>
    <col min="4" max="4" width="6.71094" customWidth="true"/>
    <col min="5" max="5" width="13.7109" customWidth="true"/>
  </cols>
  <sheetData>
    <row r="1" spans="1:5">
      <c r="A1" s="8" t="s">
        <v>70</v>
      </c>
      <c r="B1" s="9" t="s"/>
      <c r="C1" s="9" t="s"/>
      <c r="D1" s="9" t="s"/>
      <c r="E1" s="9" t="s"/>
    </row>
    <row r="2" spans="1:5">
      <c r="A2" s="49" t="s">
        <v>23</v>
      </c>
      <c r="B2" s="18" t="s">
        <v>24</v>
      </c>
      <c r="C2" s="56" t="s">
        <v>71</v>
      </c>
      <c r="D2" s="56" t="s">
        <v>65</v>
      </c>
      <c r="E2" s="18" t="s">
        <v>35</v>
      </c>
    </row>
    <row r="3" spans="1:5">
      <c r="A3" s="31">
        <v>1</v>
      </c>
      <c r="B3" s="20" t="s">
        <v>36</v>
      </c>
      <c r="C3" s="51" t="s"/>
      <c r="D3" s="20">
        <v>0</v>
      </c>
      <c r="E3" s="51" t="s"/>
    </row>
    <row r="4" spans="1:5">
      <c r="A4" s="31">
        <v>2</v>
      </c>
      <c r="B4" s="20" t="s">
        <v>37</v>
      </c>
      <c r="C4" s="51" t="s"/>
      <c r="D4" s="20">
        <v>0</v>
      </c>
      <c r="E4" s="51" t="s"/>
    </row>
    <row r="5" spans="1:5">
      <c r="A5" s="31">
        <v>3</v>
      </c>
      <c r="B5" s="20" t="s">
        <v>38</v>
      </c>
      <c r="C5" s="51" t="s"/>
      <c r="D5" s="20">
        <v>0</v>
      </c>
      <c r="E5" s="51" t="s"/>
    </row>
    <row r="6" spans="1:5">
      <c r="A6" s="31">
        <v>4</v>
      </c>
      <c r="B6" s="28" t="s">
        <v>39</v>
      </c>
      <c r="C6" s="51" t="s"/>
      <c r="D6" s="20">
        <v>0</v>
      </c>
      <c r="E6" s="51" t="s"/>
    </row>
    <row r="7" spans="1:5">
      <c r="A7" s="31">
        <v>5</v>
      </c>
      <c r="B7" s="28" t="s">
        <v>40</v>
      </c>
      <c r="C7" s="51" t="s"/>
      <c r="D7" s="20">
        <v>0</v>
      </c>
      <c r="E7" s="51" t="s"/>
    </row>
    <row r="8" spans="1:5">
      <c r="A8" s="31">
        <v>6</v>
      </c>
      <c r="B8" s="28" t="s">
        <v>41</v>
      </c>
      <c r="C8" s="51" t="s"/>
      <c r="D8" s="20">
        <v>0</v>
      </c>
      <c r="E8" s="51" t="s"/>
    </row>
    <row r="9" spans="1:5">
      <c r="A9" s="31">
        <v>7</v>
      </c>
      <c r="B9" s="28" t="s">
        <v>42</v>
      </c>
      <c r="C9" s="51" t="s"/>
      <c r="D9" s="20">
        <v>0</v>
      </c>
      <c r="E9" s="51" t="s"/>
    </row>
    <row r="10" spans="1:5">
      <c r="A10" s="19">
        <v>8</v>
      </c>
      <c r="B10" s="28" t="s">
        <v>43</v>
      </c>
      <c r="C10" s="51" t="s"/>
      <c r="D10" s="20">
        <v>0</v>
      </c>
      <c r="E10" s="51" t="s"/>
    </row>
    <row r="11" spans="1:5">
      <c r="A11" s="29">
        <v>9</v>
      </c>
      <c r="B11" s="30" t="s">
        <v>44</v>
      </c>
      <c r="C11" s="57" t="s"/>
      <c r="D11" s="58">
        <v>0</v>
      </c>
      <c r="E11" s="57" t="s"/>
    </row>
    <row r="12" spans="1:5">
      <c r="A12" s="59">
        <v>10</v>
      </c>
      <c r="B12" s="28" t="s">
        <v>45</v>
      </c>
      <c r="C12" s="51" t="s"/>
      <c r="D12" s="60" t="s"/>
      <c r="E12" s="51" t="s"/>
    </row>
    <row r="13" spans="1:5">
      <c r="A13" s="61" t="s"/>
      <c r="C13" s="10" t="s"/>
      <c r="D13" s="10" t="s"/>
      <c r="E13" s="10" t="s"/>
    </row>
    <row r="14" spans="1:5">
      <c r="A14" s="28" t="s">
        <v>72</v>
      </c>
      <c r="B14" s="28" t="s">
        <v>73</v>
      </c>
      <c r="C14" s="8" t="s">
        <v>74</v>
      </c>
      <c r="D14" s="28" t="s">
        <v>75</v>
      </c>
      <c r="E14" s="28" t="s">
        <v>76</v>
      </c>
    </row>
    <row r="15" spans="1:5">
      <c r="A15" s="9" t="s"/>
      <c r="B15" s="9" t="s"/>
      <c r="C15" s="8" t="s">
        <v>77</v>
      </c>
      <c r="D15" s="28" t="s">
        <v>78</v>
      </c>
      <c r="E15" s="28" t="s">
        <v>79</v>
      </c>
    </row>
    <row r="16" spans="1:5">
      <c r="A16" s="9" t="s"/>
      <c r="B16" s="9" t="s"/>
      <c r="C16" s="8" t="s">
        <v>80</v>
      </c>
      <c r="D16" s="28" t="s">
        <v>81</v>
      </c>
      <c r="E16" s="28" t="s">
        <v>82</v>
      </c>
    </row>
    <row r="17" spans="1:5">
      <c r="A17" s="9" t="s"/>
      <c r="B17" s="9" t="s"/>
      <c r="C17" s="8" t="s">
        <v>83</v>
      </c>
      <c r="D17" s="28" t="s">
        <v>84</v>
      </c>
      <c r="E17" s="28" t="s">
        <v>85</v>
      </c>
    </row>
    <row r="18" spans="1:5">
      <c r="A18" s="9" t="s"/>
      <c r="B18" s="28" t="s">
        <v>86</v>
      </c>
      <c r="C18" s="8" t="s">
        <v>87</v>
      </c>
      <c r="D18" s="28" t="s">
        <v>75</v>
      </c>
      <c r="E18" s="28" t="s">
        <v>79</v>
      </c>
    </row>
    <row r="19" spans="1:5">
      <c r="A19" s="9" t="s"/>
      <c r="B19" s="9" t="s"/>
      <c r="C19" s="8" t="s">
        <v>88</v>
      </c>
      <c r="D19" s="28" t="s">
        <v>78</v>
      </c>
      <c r="E19" s="28" t="s">
        <v>89</v>
      </c>
    </row>
    <row r="20" spans="1:5">
      <c r="A20" s="9" t="s"/>
      <c r="B20" s="9" t="s"/>
      <c r="C20" s="8" t="s">
        <v>90</v>
      </c>
      <c r="D20" s="28" t="s">
        <v>84</v>
      </c>
      <c r="E20" s="28" t="s">
        <v>85</v>
      </c>
    </row>
    <row r="21" spans="1:5">
      <c r="A21" s="9" t="s"/>
      <c r="B21" s="28" t="s">
        <v>91</v>
      </c>
      <c r="C21" s="8" t="s">
        <v>92</v>
      </c>
      <c r="D21" s="28" t="s"/>
      <c r="E21" s="28" t="s">
        <v>93</v>
      </c>
    </row>
    <row r="22" spans="1:5">
      <c r="A22" s="9" t="s"/>
      <c r="B22" s="9" t="s"/>
      <c r="C22" s="8" t="s">
        <v>94</v>
      </c>
      <c r="D22" s="28" t="s"/>
      <c r="E22" s="28" t="s">
        <v>95</v>
      </c>
    </row>
    <row r="23" spans="1:5">
      <c r="A23" s="9" t="s"/>
      <c r="B23" s="9" t="s"/>
      <c r="C23" s="8" t="s">
        <v>96</v>
      </c>
      <c r="D23" s="28" t="s"/>
      <c r="E23" s="28" t="s">
        <v>97</v>
      </c>
    </row>
  </sheetData>
  <mergeCells count="5">
    <mergeCell ref="A1:E1"/>
    <mergeCell ref="A14:A23"/>
    <mergeCell ref="B14:B17"/>
    <mergeCell ref="B18:B20"/>
    <mergeCell ref="B21:B23"/>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2026-03-12T15:28:43Z</dcterms:created>
  <dcterms:modified xsi:type="dcterms:W3CDTF">2026-03-12T15:28:43Z</dcterms:modified>
</cp:coreProperties>
</file>